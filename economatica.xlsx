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Desktop\"/>
    </mc:Choice>
  </mc:AlternateContent>
  <xr:revisionPtr revIDLastSave="0" documentId="8_{9F600657-A726-420C-AF59-1B72E95365CE}" xr6:coauthVersionLast="47" xr6:coauthVersionMax="47" xr10:uidLastSave="{00000000-0000-0000-0000-000000000000}"/>
  <bookViews>
    <workbookView xWindow="-28920" yWindow="-105" windowWidth="29040" windowHeight="15720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0baf80f64a914d6fab63d029b80afeb1" localSheetId="0" hidden="1">economatica!$F$2:$F$250</definedName>
    <definedName name="_ECO_RANGE_ID132936e803614bdd8422b1691bbe74b9" localSheetId="0" hidden="1">economatica!$P$2:$P$250</definedName>
    <definedName name="_ECO_RANGE_ID14ca9d33b63a45ee99721c3009e9cd74" localSheetId="0" hidden="1">economatica!$AW$2:$AW$250</definedName>
    <definedName name="_ECO_RANGE_ID394e3df8ad4c4162b358ec83d179938e" localSheetId="0" hidden="1">economatica!$Q$2:$Q$250</definedName>
    <definedName name="_ECO_RANGE_ID3b36f208415e4096b4f7d5fcccb74cc1" localSheetId="0" hidden="1">economatica!$N$2:$N$250</definedName>
    <definedName name="_ECO_RANGE_ID3fd357cc1b874778b1ca0cc26b81e596" localSheetId="0" hidden="1">economatica!$AV$2:$AV$250</definedName>
    <definedName name="_ECO_RANGE_ID47983565fae943108a186cff51cd8575" localSheetId="0" hidden="1">economatica!$K$2:$K$250</definedName>
    <definedName name="_ECO_RANGE_ID4f2db230db38491abb093fd03e638362" localSheetId="0" hidden="1">economatica!$AS$2:$AS$250</definedName>
    <definedName name="_ECO_RANGE_ID5028870e6dc34e78bba0e1c8e32c98ac" localSheetId="0" hidden="1">economatica!$C$2:$C$250</definedName>
    <definedName name="_ECO_RANGE_ID5ee6b192634a4e90a1ffb820c25fbb55" localSheetId="0" hidden="1">economatica!$AT$2:$AT$250</definedName>
    <definedName name="_ECO_RANGE_ID65832b9b65ac4f84b2d550edb17d4fbb" localSheetId="0" hidden="1">economatica!$AJ$2:$AJ$250</definedName>
    <definedName name="_ECO_RANGE_ID69daa3abb8ee4662b64a9335c359dddc" localSheetId="0" hidden="1">economatica!$D$2:$D$250</definedName>
    <definedName name="_ECO_RANGE_ID748f180737b747d19d0b1d12f3e9af76" localSheetId="0" hidden="1">economatica!$AZ$2:$AZ$250</definedName>
    <definedName name="_ECO_RANGE_ID78ee7fb99f974cde9fb37f8326965d52" localSheetId="0" hidden="1">economatica!$O$2:$O$250</definedName>
    <definedName name="_ECO_RANGE_ID7c60abcda69548b9a02e42c7af2afd40" localSheetId="0" hidden="1">economatica!$E$2:$E$250</definedName>
    <definedName name="_ECO_RANGE_ID7cdab53b4f704c9abcb590865df1bfbd" localSheetId="0" hidden="1">economatica!$AY$2:$AY$250</definedName>
    <definedName name="_ECO_RANGE_ID8673d381853c469c9c324d58b040ef1f" localSheetId="0" hidden="1">economatica!$AK$2:$AK$250</definedName>
    <definedName name="_ECO_RANGE_ID87e5b192395642b8a13522759d395c2a" localSheetId="0" hidden="1">economatica!$AQ$2:$AQ$250</definedName>
    <definedName name="_ECO_RANGE_ID92624e143be84df1a3f1b12815357947" localSheetId="0" hidden="1">economatica!$G$2:$G$250</definedName>
    <definedName name="_ECO_RANGE_ID9417b60d0aed423a9884b7cd51ba6d62" localSheetId="0" hidden="1">economatica!$AR$2:$AR$250</definedName>
    <definedName name="_ECO_RANGE_IDa1dd36b94145492eb71c8876c0768a7d" localSheetId="0" hidden="1">economatica!$AN$2:$AN$250</definedName>
    <definedName name="_ECO_RANGE_IDaab9bfd06e0b437390a60b4f62b75697" localSheetId="0" hidden="1">economatica!$AL$2:$AL$250</definedName>
    <definedName name="_ECO_RANGE_IDb03bbf40bb3f438b80b2e5e7629977dc" localSheetId="0" hidden="1">economatica!$L$2:$L$250</definedName>
    <definedName name="_ECO_RANGE_IDb50279e4dc2549778f9d415ceeb10454" localSheetId="0" hidden="1">economatica!$H$2:$H$250</definedName>
    <definedName name="_ECO_RANGE_IDb901029bab744ae19aa3578cf649a22f" localSheetId="0" hidden="1">economatica!$I$2:$I$250</definedName>
    <definedName name="_ECO_RANGE_IDca2f6d6d43774373a022083724ee2abd" localSheetId="0" hidden="1">economatica!$AP$2:$AP$250</definedName>
    <definedName name="_ECO_RANGE_IDd4f685083f37432eb7c5b678dfca05c2" localSheetId="0" hidden="1">economatica!$J$2:$J$250</definedName>
    <definedName name="_ECO_RANGE_IDd74fd20e9d3847cda721d26cd1b80cb4" localSheetId="0" hidden="1">economatica!$AO$2:$AO$250</definedName>
    <definedName name="_ECO_RANGE_IDda4b9ba1f94f4c12a3a02daac2826715" localSheetId="0" hidden="1">economatica!$AU$2:$AU$250</definedName>
    <definedName name="_ECO_RANGE_IDe1469847d2664f25bf8c20a6854e22d7" localSheetId="0" hidden="1">economatica!$S$2:$S$250</definedName>
    <definedName name="_ECO_RANGE_IDe79fde3ba3564b95bedfaf3e8adc2e63" localSheetId="0" hidden="1">economatica!$AM$2:$AM$250</definedName>
    <definedName name="_ECO_RANGE_IDe84153f6aa264efe99fe165178f2accf" localSheetId="0" hidden="1">economatica!$R$2:$R$250</definedName>
    <definedName name="_ECO_RANGE_IDf05b502da6b9410f93d3a57a41710cda" localSheetId="0" hidden="1">economatica!$M$2:$M$250</definedName>
    <definedName name="_ECO_RANGE_IDf78bc45314e942f8b9c4e539cda3efd1" localSheetId="0" hidden="1">economatica!$AY$2:$AY$250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" i="3" l="1" a="1"/>
  <c r="AX1" i="3" a="1"/>
  <c r="AW1" i="3" a="1"/>
  <c r="AU1" i="3" a="1"/>
  <c r="AV1" i="3" a="1"/>
  <c r="R1" i="3" a="1"/>
  <c r="S1" i="3" a="1"/>
  <c r="C1" i="3" a="1"/>
  <c r="Q1" i="3" a="1"/>
  <c r="P1" i="3" a="1"/>
  <c r="O1" i="3" a="1"/>
  <c r="M1" i="3" a="1"/>
  <c r="N1" i="3" a="1"/>
  <c r="AZ1" i="3" a="1"/>
  <c r="AT1" i="3" a="1"/>
  <c r="AS1" i="3" a="1"/>
  <c r="AR1" i="3" a="1"/>
  <c r="AQ1" i="3" a="1"/>
  <c r="AP1" i="3" a="1"/>
  <c r="L1" i="3" a="1"/>
  <c r="K1" i="3" a="1"/>
  <c r="AK1" i="3" a="1"/>
  <c r="J1" i="3" a="1"/>
  <c r="AO1" i="3" a="1"/>
  <c r="I1" i="3" a="1"/>
  <c r="D1" i="3" a="1"/>
  <c r="H1" i="3" a="1"/>
  <c r="F1" i="3" a="1"/>
  <c r="AM1" i="3" a="1"/>
  <c r="AN1" i="3" a="1"/>
  <c r="AL1" i="3" a="1"/>
  <c r="G1" i="3" a="1"/>
  <c r="AJ1" i="3" a="1"/>
  <c r="E1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<sst xmlns="http://schemas.openxmlformats.org/spreadsheetml/2006/main" count="1007" uniqueCount="503">
  <si>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</si>
  <si>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</si>
  <si>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</si>
  <si>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</si>
  <si>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</si>
  <si>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</si>
  <si>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</si>
  <si>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</si>
  <si>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</si>
  <si>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</si>
  <si>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</si>
  <si>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</si>
  <si>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</si>
  <si>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</si>
  <si>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</si>
  <si>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</si>
  <si>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</si>
  <si>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</si>
  <si>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</si>
  <si>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</si>
  <si>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</si>
  <si>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</si>
  <si>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</si>
  <si>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</si>
  <si>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</si>
  <si>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</si>
  <si>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</si>
  <si>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</si>
  <si>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</si>
  <si>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</si>
  <si>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</si>
  <si>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</si>
  <si>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</si>
  <si>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</si>
  <si>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</si>
  <si>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</si>
  <si>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</si>
  <si>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</si>
  <si>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</si>
  <si>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</si>
  <si>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</si>
  <si>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</si>
  <si>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</si>
  <si>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</si>
  <si>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</si>
  <si>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</si>
  <si>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</si>
  <si>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</si>
  <si>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</si>
  <si>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</si>
  <si>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</si>
  <si>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</si>
  <si>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</si>
  <si>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</si>
  <si>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</si>
  <si>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</si>
  <si>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</si>
  <si>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</si>
  <si>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</si>
  <si>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</si>
  <si>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</si>
  <si>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</si>
  <si>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</si>
  <si>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</si>
  <si>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</si>
  <si>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</si>
  <si>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</si>
  <si>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</si>
  <si>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</si>
  <si>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</si>
  <si>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</si>
  <si>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</si>
  <si>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</si>
  <si>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</si>
  <si>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</si>
  <si>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</si>
  <si>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</si>
  <si>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</si>
  <si>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</si>
  <si>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</si>
  <si>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</si>
  <si>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</si>
  <si>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</si>
  <si>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</si>
  <si>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</si>
  <si>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</si>
  <si>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</si>
  <si>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</si>
  <si>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</si>
  <si>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</si>
  <si>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</si>
  <si>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</si>
  <si>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</si>
  <si>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</si>
  <si>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</si>
  <si>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</si>
  <si>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</si>
  <si>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</si>
  <si>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</si>
  <si>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</si>
  <si>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</si>
  <si>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</si>
  <si>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</si>
  <si>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</si>
  <si>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</si>
  <si>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</si>
  <si>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</si>
  <si>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</si>
  <si>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</si>
  <si>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</si>
  <si>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</si>
  <si>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</si>
  <si>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</si>
  <si>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</si>
  <si>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</si>
  <si>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</si>
  <si>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</si>
  <si>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</si>
  <si>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</si>
  <si>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</si>
  <si>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</si>
  <si>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</si>
  <si>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</si>
  <si>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</si>
  <si>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</si>
  <si>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</si>
  <si>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</si>
  <si>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</si>
  <si>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</si>
  <si>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</si>
  <si>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</si>
  <si>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</si>
  <si>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</si>
  <si>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</si>
  <si>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</si>
  <si>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</si>
  <si>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</si>
  <si>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</si>
  <si>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</si>
  <si>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</si>
  <si>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</si>
  <si>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</si>
  <si>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</si>
  <si>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</si>
  <si>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</si>
  <si>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</si>
  <si>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</si>
  <si>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</si>
  <si>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</si>
  <si>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</si>
  <si>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</si>
  <si>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</si>
  <si>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</si>
  <si>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</si>
  <si>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</si>
  <si>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</si>
  <si>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</si>
  <si>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</si>
  <si>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</si>
  <si>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</si>
  <si>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</si>
  <si>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</si>
  <si>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</si>
  <si>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</si>
  <si>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</si>
  <si>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</si>
  <si>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</si>
  <si>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</si>
  <si>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</si>
  <si>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</si>
  <si>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</si>
  <si>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</si>
  <si>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</si>
  <si>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</si>
  <si>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</si>
  <si>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</si>
  <si>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</si>
  <si>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</si>
  <si>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</si>
  <si>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</si>
  <si>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</si>
  <si>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</si>
  <si>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</si>
  <si>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</si>
  <si>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</si>
  <si>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</si>
  <si>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</si>
  <si>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</si>
  <si>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</si>
  <si>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</si>
  <si>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</si>
  <si>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</si>
  <si>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</si>
  <si>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</si>
  <si>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</si>
  <si>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</si>
  <si>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</si>
  <si>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</si>
  <si>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</si>
  <si>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</si>
  <si>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</si>
  <si>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</si>
  <si>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</si>
  <si>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</si>
  <si>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</si>
  <si>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</si>
  <si>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</si>
  <si>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</si>
  <si>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</si>
  <si>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</si>
  <si>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</si>
  <si>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</si>
  <si>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</si>
  <si>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</si>
  <si>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</si>
  <si>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</si>
  <si>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</si>
  <si>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</si>
  <si>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</si>
  <si>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</si>
  <si>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</si>
  <si>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</si>
  <si>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</si>
  <si>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</si>
  <si>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</si>
  <si>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</si>
  <si>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</si>
  <si>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</si>
  <si>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</si>
  <si>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</si>
  <si>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</si>
  <si>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</si>
  <si>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</si>
  <si>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</si>
  <si>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</si>
  <si>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</si>
  <si>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</si>
  <si>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</si>
  <si>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</si>
  <si>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</si>
  <si>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</si>
  <si>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</si>
  <si>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</si>
  <si>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</si>
  <si>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</si>
  <si>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</si>
  <si>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</si>
  <si>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</si>
  <si>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</si>
  <si>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</si>
  <si>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</si>
  <si>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</si>
  <si>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</si>
  <si>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</si>
  <si>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</si>
  <si>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</si>
  <si>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</si>
  <si>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</si>
  <si>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</si>
  <si>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</si>
  <si>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</si>
  <si>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</si>
  <si>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</si>
  <si>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</si>
  <si>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</si>
  <si>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</si>
  <si>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</si>
  <si>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</si>
  <si>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</si>
  <si>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</si>
  <si>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</si>
  <si>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</si>
  <si>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</si>
  <si>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</si>
  <si>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</si>
  <si>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</si>
  <si>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</si>
  <si>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</si>
  <si>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</si>
  <si>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</si>
  <si>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</si>
  <si>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</si>
  <si>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</si>
  <si>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</si>
  <si>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</si>
  <si>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</si>
  <si>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</si>
  <si>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</si>
  <si>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</si>
  <si>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</si>
  <si>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</si>
  <si>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</si>
  <si>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</si>
  <si>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</si>
  <si>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</si>
  <si>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</si>
  <si>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</si>
  <si>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</si>
  <si>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</si>
  <si>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</si>
  <si>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</si>
  <si>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</si>
  <si>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</si>
  <si>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</si>
  <si>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</si>
  <si>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</si>
  <si>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</si>
  <si>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</si>
  <si>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</si>
  <si>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</si>
  <si>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</si>
  <si>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</si>
  <si>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</si>
  <si>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</si>
  <si>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</si>
  <si>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</si>
  <si>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</si>
  <si>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</si>
  <si>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</si>
  <si>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</si>
  <si>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</si>
  <si>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</si>
  <si>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</si>
  <si>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</si>
  <si>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</si>
  <si>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</si>
  <si>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</si>
  <si>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</si>
  <si>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</si>
  <si>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</si>
  <si>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</si>
  <si>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</si>
  <si>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</si>
  <si>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</si>
  <si>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</si>
  <si>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</si>
  <si>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</si>
  <si>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</si>
  <si>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</si>
  <si>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</si>
  <si>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</si>
  <si>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</si>
  <si>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</si>
  <si>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</si>
  <si>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</si>
  <si>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</si>
  <si>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</si>
  <si>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</si>
  <si>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</si>
  <si>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</si>
  <si>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</si>
  <si>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</si>
  <si>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</si>
  <si>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</si>
  <si>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</si>
  <si>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</si>
  <si>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</si>
  <si>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</si>
  <si>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</si>
  <si>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</si>
  <si>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</si>
  <si>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</si>
  <si>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</si>
  <si>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</si>
  <si>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</si>
  <si>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</si>
  <si>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</si>
  <si>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</si>
  <si>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</si>
  <si>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</si>
  <si>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</si>
  <si>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</si>
  <si>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</si>
  <si>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</si>
  <si>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</si>
  <si>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</si>
  <si>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</si>
  <si>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</si>
  <si>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</si>
  <si>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</si>
  <si>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</si>
  <si>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</si>
  <si>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</si>
  <si>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</si>
  <si>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</si>
  <si>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</si>
  <si>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</si>
  <si>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</si>
  <si>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</si>
  <si>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</si>
  <si>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</si>
  <si>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</si>
  <si>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</si>
  <si>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</si>
  <si>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</si>
  <si>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</si>
  <si>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</si>
  <si>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</si>
  <si>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</si>
  <si>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</si>
  <si>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</si>
  <si>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</si>
  <si>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</si>
  <si>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</si>
  <si>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</si>
  <si>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</si>
  <si>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</si>
  <si>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</si>
  <si>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</si>
  <si>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</si>
  <si>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</si>
  <si>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</si>
  <si>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</si>
  <si>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</si>
  <si>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</si>
  <si>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</si>
  <si>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</si>
  <si>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</si>
  <si>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</si>
  <si>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</si>
  <si>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</si>
  <si>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</si>
  <si>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</si>
  <si>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</si>
  <si>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</si>
  <si>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</si>
  <si>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</si>
  <si>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</si>
  <si>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</si>
  <si>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</si>
  <si>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</si>
  <si>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</si>
  <si>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</si>
  <si>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</si>
  <si>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</si>
  <si>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</si>
  <si>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</si>
  <si>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</si>
  <si>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</si>
  <si>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</si>
  <si>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</si>
  <si>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</si>
  <si>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</si>
  <si>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</si>
  <si>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</si>
  <si>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</si>
  <si>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</si>
  <si>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</si>
  <si>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</si>
  <si>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</si>
  <si>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</si>
  <si>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</si>
  <si>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</si>
  <si>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</si>
  <si>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</si>
  <si>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</si>
  <si>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</si>
  <si>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</si>
  <si>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</si>
  <si>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</si>
  <si>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</si>
  <si>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</si>
  <si>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CLSA3</t>
  </si>
  <si>
    <t>CRFB3</t>
  </si>
  <si>
    <t>ELMD3</t>
  </si>
  <si>
    <t>FBMC4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</si>
  <si>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</si>
  <si>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</si>
  <si>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</si>
  <si>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</si>
  <si>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</si>
  <si>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</si>
  <si>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</si>
  <si>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</si>
  <si>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</si>
  <si>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</si>
  <si>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</si>
  <si>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</si>
  <si>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</si>
  <si>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</si>
  <si>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</si>
  <si>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</si>
  <si>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</si>
  <si>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</si>
  <si>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</si>
  <si>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</si>
  <si>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</si>
  <si>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</si>
  <si>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</si>
  <si>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</si>
  <si>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</si>
  <si>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</si>
  <si>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</si>
  <si>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</si>
  <si>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</si>
  <si>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</si>
  <si>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</si>
  <si>
    <t>AUAU3</t>
  </si>
  <si>
    <t>AUAU3&lt;XBSP&gt;</t>
  </si>
  <si>
    <t>RIAA3</t>
  </si>
  <si>
    <t>RIAA3&lt;XBSP&gt;</t>
  </si>
  <si>
    <t>31/09/2025</t>
  </si>
  <si>
    <t>31/11/2025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</si>
</sst>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49a46df73b446f5af15457116fa1f0e">
      <tp>
        <v>2</v>
        <stp/>
        <stp>7ba38fcd-92e2-41dc-aae6-5b0d33480576</stp>
        <tr r="AK1" s="3"/>
      </tp>
      <tp>
        <v>2</v>
        <stp/>
        <stp>c327d009-64a2-43a1-8542-8f5c58edf3aa</stp>
        <tr r="AQ1" s="3"/>
      </tp>
    </main>
    <main first="rtdsrv_eco_049a46df73b446f5af15457116fa1f0e">
      <tp>
        <v>2</v>
        <stp/>
        <stp>e1f5e9f4-595f-4bb1-b39c-b46758ea9ebb</stp>
        <tr r="AS1" s="3"/>
      </tp>
      <tp>
        <v>2</v>
        <stp/>
        <stp>7ca69e54-b7c2-48d2-bfe4-d23f9955dc6d</stp>
        <tr r="I1" s="3"/>
      </tp>
    </main>
    <main first="rtdsrv_eco_049a46df73b446f5af15457116fa1f0e">
      <tp>
        <v>2</v>
        <stp/>
        <stp>09b87416-667b-4545-8073-6fe4a1b1d7d9</stp>
        <tr r="AO1" s="3"/>
      </tp>
    </main>
    <main first="rtdsrv_eco_049a46df73b446f5af15457116fa1f0e">
      <tp>
        <v>2</v>
        <stp/>
        <stp>22814236-a027-4905-ab1d-891ba3ff0874</stp>
        <tr r="F1" s="3"/>
      </tp>
      <tp>
        <v>2</v>
        <stp/>
        <stp>babc7730-ba56-48c7-bcf5-c284c897c9cd</stp>
        <tr r="Q1" s="3"/>
      </tp>
      <tp>
        <v>2</v>
        <stp/>
        <stp>343a9c7c-9756-4d09-bed5-aafa95938110</stp>
        <tr r="O1" s="3"/>
      </tp>
      <tp>
        <v>2</v>
        <stp/>
        <stp>056e2990-f06e-4140-acc4-5fcf90f0a94a</stp>
        <tr r="AT1" s="3"/>
      </tp>
    </main>
    <main first="rtdsrv_eco_049a46df73b446f5af15457116fa1f0e">
      <tp>
        <v>2</v>
        <stp/>
        <stp>01d164bd-e23b-461d-b3d3-5b2b73791d8f</stp>
        <tr r="AW1" s="3"/>
      </tp>
      <tp>
        <v>2</v>
        <stp/>
        <stp>2f0acded-c5b5-4042-9035-9b0470ae7fd5</stp>
        <tr r="AZ1" s="3"/>
      </tp>
      <tp>
        <v>2</v>
        <stp/>
        <stp>d0eb032a-bea7-48f9-8b9d-966d01ce1510</stp>
        <tr r="AM1" s="3"/>
      </tp>
      <tp>
        <v>2</v>
        <stp/>
        <stp>b07f521e-e60d-4d1f-9e64-66e9eecb466a</stp>
        <tr r="C1" s="3"/>
      </tp>
      <tp>
        <v>2</v>
        <stp/>
        <stp>cf7bb3c6-35a4-43ba-88d5-e111733fd093</stp>
        <tr r="AP1" s="3"/>
      </tp>
      <tp>
        <v>2</v>
        <stp/>
        <stp>baeacc60-631b-424f-8e6b-81a11db85a39</stp>
        <tr r="E1" s="3"/>
      </tp>
      <tp>
        <v>2</v>
        <stp/>
        <stp>8287f979-ec41-4af8-8c0b-853afe3b9f6b</stp>
        <tr r="M1" s="3"/>
      </tp>
      <tp>
        <v>2</v>
        <stp/>
        <stp>9499bb41-c421-40f3-8239-e765d5ee9882</stp>
        <tr r="H1" s="3"/>
      </tp>
      <tp>
        <v>2</v>
        <stp/>
        <stp>62dc3c04-8e96-4c5d-8fac-f4783a5b47d9</stp>
        <tr r="K1" s="3"/>
      </tp>
      <tp>
        <v>2</v>
        <stp/>
        <stp>1a19252b-3d7b-4e2a-bd06-527fc94483b5</stp>
        <tr r="AJ1" s="3"/>
      </tp>
      <tp>
        <v>2</v>
        <stp/>
        <stp>32f692d2-cde5-4a2f-bf7e-78c831612199</stp>
        <tr r="N1" s="3"/>
      </tp>
      <tp>
        <v>2</v>
        <stp/>
        <stp>8b4d8b95-5711-4278-bb50-4a7cf6166e88</stp>
        <tr r="AN1" s="3"/>
      </tp>
      <tp>
        <v>2</v>
        <stp/>
        <stp>6ec92af1-9f56-4217-8cd7-8311df16d2bb</stp>
        <tr r="L1" s="3"/>
      </tp>
    </main>
    <main first="rtdsrv_eco_049a46df73b446f5af15457116fa1f0e">
      <tp>
        <v>2</v>
        <stp/>
        <stp>9a215d0d-9449-4cfb-932d-7fa25d6cffd1</stp>
        <tr r="S1" s="3"/>
      </tp>
    </main>
    <main first="rtdsrv_eco_049a46df73b446f5af15457116fa1f0e">
      <tp>
        <v>2</v>
        <stp/>
        <stp>43b0be4b-c079-435c-b528-06127efb60c4</stp>
        <tr r="D1" s="3"/>
      </tp>
    </main>
    <main first="rtdsrv_eco_049a46df73b446f5af15457116fa1f0e">
      <tp>
        <v>2</v>
        <stp/>
        <stp>a6a90455-1585-46fc-a1e4-cd2cec18e73d</stp>
        <tr r="AV1" s="3"/>
      </tp>
      <tp>
        <v>2</v>
        <stp/>
        <stp>4cc9de4d-c906-4024-8405-1d1d1ce58c4e</stp>
        <tr r="R1" s="3"/>
      </tp>
      <tp>
        <v>2</v>
        <stp/>
        <stp>022ce07b-03f9-4dc4-9b68-6d8b9daad375</stp>
        <tr r="AX1" s="3"/>
      </tp>
      <tp>
        <v>2</v>
        <stp/>
        <stp>851187a3-63cd-42dc-bf1e-f46a6bd313fe</stp>
        <tr r="G1" s="3"/>
      </tp>
    </main>
    <main first="rtdsrv_eco_049a46df73b446f5af15457116fa1f0e">
      <tp>
        <v>2</v>
        <stp/>
        <stp>b5a7014a-b5eb-4324-bc6f-b788d5d29eed</stp>
        <tr r="AL1" s="3"/>
      </tp>
    </main>
    <main first="rtdsrv_eco_049a46df73b446f5af15457116fa1f0e">
      <tp>
        <v>2</v>
        <stp/>
        <stp>9271cd27-7135-453e-9619-f71accf5ac50</stp>
        <tr r="J1" s="3"/>
      </tp>
      <tp>
        <v>2</v>
        <stp/>
        <stp>2b92574a-7c9c-416a-a8bc-504b72c19b7c</stp>
        <tr r="AU1" s="3"/>
      </tp>
      <tp>
        <v>2</v>
        <stp/>
        <stp>a2a75b49-ff43-4f7e-a048-a0de9c201579</stp>
        <tr r="AR1" s="3"/>
      </tp>
      <tp>
        <v>2</v>
        <stp/>
        <stp>3e4da359-79ce-4a01-953e-adff524ef4f3</stp>
        <tr r="AY1" s="3"/>
      </tp>
    </main>
    <main first="rtdsrv_eco_049a46df73b446f5af15457116fa1f0e">
      <tp>
        <v>2</v>
        <stp/>
        <stp>afeb6c35-1897-434b-b733-3d5b272467f9</stp>
        <tr r="P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BE250"/>
  <sheetViews>
    <sheetView tabSelected="1" workbookViewId="0">
      <selection activeCell="C1" sqref="C1"/>
    </sheetView>
  </sheetViews>
  <sheetFormatPr defaultRowHeight="14.5" x14ac:dyDescent="0.35"/>
  <cols>
    <col min="2" max="2" width="13.90625" bestFit="1" customWidth="1"/>
    <col min="42" max="51" width="9.26953125" customWidth="1"/>
    <col min="57" max="57" width="18.81640625" bestFit="1" customWidth="1"/>
  </cols>
  <sheetData>
    <row r="1" spans="1:57" x14ac:dyDescent="0.35">
      <c r="C1" t="str" cm="1">
        <f t="array" ref="C1">_xll.ECONOMATICA(B2:B250,"Hist Average","QTD","2024-10-31",,,"ORIGINAL CURRENCY","THOUSANDS","false","true",,{"std.tec.cals=7"})</f>
        <v>Media nulos = 0 do volume$ no trimestre (de 01Out24 até 31Out24) Em moeda orig em milhares</v>
      </c>
      <c r="D1" t="str" cm="1">
        <f t="array" ref="D1">_xll.ECONOMATICA(B2:B250,"Hist Average","QTD","2024-11-30",,,"ORIGINAL CURRENCY","THOUSANDS","false","true",,{"std.tec.cals=7"})</f>
        <v>Media nulos = 0 do volume$ no trimestre (de 01Out24 até 30Nov24) Em moeda orig em milhares</v>
      </c>
      <c r="E1" t="str" cm="1">
        <f t="array" ref="E1">_xll.ECONOMATICA(B2:B1376,"Hist Average","QTD","2024-12-31",,,"ORIGINAL CURRENCY","THOUSANDS","false","true",,{"std.tec.cals=7"})</f>
        <v>Media nulos = 0 do volume$ no trimestre (de 01Out24 até 31Dez24) Em moeda orig em milhares</v>
      </c>
      <c r="F1" t="str" cm="1">
        <f t="array" ref="F1">_xll.ECONOMATICA(B2:B1376,"Hist Average","QTD","2025-01-31",,,"ORIGINAL CURRENCY","THOUSANDS","false","true",,{"std.tec.cals=7"})</f>
        <v>Media nulos = 0 do volume$ no trimestre (de 01Jan25 até 31Jan25) Em moeda orig em milhares</v>
      </c>
      <c r="G1" t="str" cm="1">
        <f t="array" ref="G1">_xll.ECONOMATICA(B2:B1376,"Hist Average","QTD","2025-02-28",,,"ORIGINAL CURRENCY","THOUSANDS","false","true",,{"std.tec.cals=7"})</f>
        <v>Media nulos = 0 do volume$ no trimestre (de 01Jan25 até 28Fev25) Em moeda orig em milhares</v>
      </c>
      <c r="H1" t="str" cm="1">
        <f t="array" ref="H1">_xll.ECONOMATICA(B2:B1376,"Hist Average","QTD","2025-03-31",,,"ORIGINAL CURRENCY","THOUSANDS","false","true",,{"std.tec.cals=7"})</f>
        <v>Media nulos = 0 do volume$ no trimestre (de 01Jan25 até 31Mar25) Em moeda orig em milhares</v>
      </c>
      <c r="I1" t="str" cm="1">
        <f t="array" ref="I1">_xll.ECONOMATICA($B$2:$B$1376,"Hist Average","QTD","2025-04-30",,,"ORIGINAL CURRENCY","THOUSANDS","false","true",,{"std.tec.cals=7"})</f>
        <v>Media nulos = 0 do volume$ no trimestre (de 01Abr25 até 30Abr25) Em moeda orig em milhares</v>
      </c>
      <c r="J1" t="str" cm="1">
        <f t="array" ref="J1">_xll.ECONOMATICA($B$2:$B$1376,"Hist Average","QTD","2025-05-30",,,"ORIGINAL CURRENCY","THOUSANDS","false","true",,{"std.tec.cals=7"})</f>
        <v>Media nulos = 0 do volume$ no trimestre (de 01Abr25 até 30Mai25) Em moeda orig em milhares</v>
      </c>
      <c r="K1" t="str" cm="1">
        <f t="array" ref="K1">_xll.ECONOMATICA($B$2:$B$1376,"Hist Average","QTD","2025-06-30",,,"ORIGINAL CURRENCY","THOUSANDS","false","true",,{"std.tec.cals=7"})</f>
        <v>Media nulos = 0 do volume$ no trimestre (de 01Abr25 até 30Jun25) Em moeda orig em milhares</v>
      </c>
      <c r="L1" t="str" cm="1">
        <f t="array" ref="L1">_xll.ECONOMATICA($B$2:$B$1376,"Hist Average","QTD","2025-07-30",,,"ORIGINAL CURRENCY","THOUSANDS","false","true",,{"std.tec.cals=7"})</f>
        <v>Media nulos = 0 do volume$ no trimestre (de 01Jul25 até 30Jul25) Em moeda orig em milhares</v>
      </c>
      <c r="M1" t="str" cm="1">
        <f t="array" ref="M1">_xll.ECONOMATICA($B$2:$B$1376,"Hist Average","QTD","2025-08-30",,,"ORIGINAL CURRENCY","THOUSANDS","false","true",,{"std.tec.cals=7"})</f>
        <v>Media nulos = 0 do volume$ no trimestre (de 01Jul25 até 30Ago25) Em moeda orig em milhares</v>
      </c>
      <c r="N1" t="str" cm="1">
        <f t="array" ref="N1">_xll.ECONOMATICA($B$2:$B$1376,"Hist Average","QTD","2025-09-30",,,"ORIGINAL CURRENCY","THOUSANDS","false","true",,{"std.tec.cals=7"})</f>
        <v>Media nulos = 0 do volume$ no trimestre (de 01Jul25 até 30Set25) Em moeda orig em milhares</v>
      </c>
      <c r="O1" t="str" cm="1">
        <f t="array" ref="O1">_xll.ECONOMATICA($B$2:$B$1376,"Hist Average","QTD","2025-10-30",,,"ORIGINAL CURRENCY","THOUSANDS","false","true",,{"std.tec.cals=7"})</f>
        <v>Media nulos = 0 do volume$ no trimestre (de 01Out25 até 30Out25) Em moeda orig em milhares</v>
      </c>
      <c r="P1" t="str" cm="1">
        <f t="array" ref="P1">_xll.ECONOMATICA($B$2:$B$1376,"Hist Average","QTD","2025-11-30",,,"ORIGINAL CURRENCY","THOUSANDS","false","true",,{"std.tec.cals=7"})</f>
        <v>Media nulos = 0 do volume$ no trimestre (de 01Out25 até 30Nov25) Em moeda orig em milhares</v>
      </c>
      <c r="Q1" t="str" cm="1">
        <f t="array" ref="Q1">_xll.ECONOMATICA($B$2:$B$1376,"Hist Average","QTD","2025-12-30",,,"ORIGINAL CURRENCY","THOUSANDS","false","true",,{"std.tec.cals=7"})</f>
        <v>Media nulos = 0 do volume$ no trimestre (de 01Out25 até 30Dez25) Em moeda orig em milhares</v>
      </c>
      <c r="R1" t="str" cm="1">
        <f t="array" ref="R1">_xll.ECONOMATICA($B$2:$B$1376,"Hist Average","QTD","2026-01-30",,,"ORIGINAL CURRENCY","THOUSANDS","false","true",,{"std.tec.cals=7"})</f>
        <v>Media nulos = 0 do volume$ no trimestre (de 01Jan26 até 30Jan26) Em moeda orig em milhares</v>
      </c>
      <c r="S1" t="str" cm="1">
        <f t="array" ref="S1">_xll.ECONOMATICA(B2:B1376,"Hist Average","QTD","D-0",,,"ORIGINAL CURRENCY","THOUSANDS","false","true",,{"std.tec.cals=7"})</f>
        <v>Media nulos = 0 do volume$ no trimestre (de 01Jul26 até 17Ago26) Em moeda orig em milhares</v>
      </c>
      <c r="AJ1" t="str" cm="1">
        <f t="array" ref="AJ1">_xll.ECONOMATICA(B2:B1376,"MarketCapitaliz",,"2024-10-31",,,"ORIGINAL CURRENCY","THOUSANDS","false","true",,{"tc.dft'false";"tc.tp'0";"tc.pers'22";"tc.per'0"})</f>
        <v>Valor Mercado da empresa 31Out24 Em moeda orig em milhares</v>
      </c>
      <c r="AK1" t="str" cm="1">
        <f t="array" ref="AK1">_xll.ECONOMATICA(B2:B1376,"MarketCapitaliz",,"2024-11-30",,,"ORIGINAL CURRENCY","THOUSANDS","false","true",,{"tc.dft'false";"tc.tp'0";"tc.pers'22";"tc.per'0"})</f>
        <v>Valor Mercado da empresa 30Nov24 Em moeda orig em milhares</v>
      </c>
      <c r="AL1" t="str" cm="1">
        <f t="array" ref="AL1">_xll.ECONOMATICA($B$2:$B$1376,"MarketCapitaliz",,"2024-12-31",,,"ORIGINAL CURRENCY","THOUSANDS","false","true",,{"tc.dft'false";"tc.tp'0";"tc.pers'22";"tc.per'0"})</f>
        <v>Valor Mercado da empresa 31Dez24 Em moeda orig em milhares</v>
      </c>
      <c r="AM1" t="str" cm="1">
        <f t="array" ref="AM1">_xll.ECONOMATICA($B$2:$B$1376,"MarketCapitaliz",,"2025-01-30",,,"ORIGINAL CURRENCY","THOUSANDS","false","true",,{"tc.dft'false";"tc.tp'0";"tc.pers'22";"tc.per'0"})</f>
        <v>Valor Mercado da empresa 30Jan25 Em moeda orig em milhares</v>
      </c>
      <c r="AN1" t="str" cm="1">
        <f t="array" ref="AN1">_xll.ECONOMATICA($B$2:$B$1376,"MarketCapitaliz",,"2025-02-28",,,"ORIGINAL CURRENCY","THOUSANDS","false","true",,{"tc.dft'false";"tc.tp'0";"tc.pers'22";"tc.per'0"})</f>
        <v>Valor Mercado da empresa 28Fev25 Em moeda orig em milhares</v>
      </c>
      <c r="AO1" t="str" cm="1">
        <f t="array" ref="AO1">_xll.ECONOMATICA($B$2:$B$1376,"MarketCapitaliz",,"2025-03-31",,,"ORIGINAL CURRENCY","THOUSANDS","false","true",,{"tc.dft'false";"tc.tp'0";"tc.pers'22";"tc.per'0"})</f>
        <v>Valor Mercado da empresa 31Mar25 Em moeda orig em milhares</v>
      </c>
      <c r="AP1" t="str" cm="1">
        <f t="array" ref="AP1">_xll.ECONOMATICA($B$2:$B$1376,"MarketCapitaliz",,"2025-04-30",,,"ORIGINAL CURRENCY","THOUSANDS","false","true",,{"tc.dft'false";"tc.tp'0";"tc.pers'22";"tc.per'0"})</f>
        <v>Valor Mercado da empresa 30Abr25 Em moeda orig em milhares</v>
      </c>
      <c r="AQ1" t="str" cm="1">
        <f t="array" ref="AQ1">_xll.ECONOMATICA($B$2:$B$1376,"MarketCapitaliz",,"2025-05-30",,,"ORIGINAL CURRENCY","THOUSANDS","false","true",,{"tc.dft'false";"tc.tp'0";"tc.pers'22";"tc.per'0"})</f>
        <v>Valor Mercado da empresa 30Mai25 Em moeda orig em milhares</v>
      </c>
      <c r="AR1" t="str" cm="1">
        <f t="array" ref="AR1">_xll.ECONOMATICA($B$2:$B$1376,"MarketCapitaliz",,"2025-06-30",,,"ORIGINAL CURRENCY","THOUSANDS","false","true",,{"tc.dft'false";"tc.tp'0";"tc.pers'22";"tc.per'0"})</f>
        <v>Valor Mercado da empresa 30Jun25 Em moeda orig em milhares</v>
      </c>
      <c r="AS1" t="str" cm="1">
        <f t="array" ref="AS1">_xll.ECONOMATICA($B$2:$B$1376,"MarketCapitaliz",,"2025-07-30",,,"ORIGINAL CURRENCY","THOUSANDS","false","true",,{"tc.dft'false";"tc.tp'0";"tc.pers'22";"tc.per'0"})</f>
        <v>Valor Mercado da empresa 30Jul25 Em moeda orig em milhares</v>
      </c>
      <c r="AT1" t="str" cm="1">
        <f t="array" ref="AT1">_xll.ECONOMATICA($B$2:$B$1376,"MarketCapitaliz",,"2025-08-31",,,"ORIGINAL CURRENCY","THOUSANDS","false","true",,{"tc.dft'false";"tc.tp'0";"tc.pers'22";"tc.per'0"})</f>
        <v>Valor Mercado da empresa 31Ago25 Em moeda orig em milhares</v>
      </c>
      <c r="AU1" t="str" cm="1">
        <f t="array" ref="AU1">_xll.ECONOMATICA($B$2:$B$1376,"MarketCapitaliz",,"2025-09-30",,,"ORIGINAL CURRENCY","THOUSANDS","false","true",,{"tc.dft'false";"tc.tp'0";"tc.pers'22";"tc.per'0"})</f>
        <v>Valor Mercado da empresa 30Set25 Em moeda orig em milhares</v>
      </c>
      <c r="AV1" t="str" cm="1">
        <f t="array" ref="AV1">_xll.ECONOMATICA($B$2:$B$1376,"MarketCapitaliz",,"2025-10-31",,,"ORIGINAL CURRENCY","THOUSANDS","false","true",,{"tc.dft'false";"tc.tp'0";"tc.pers'22";"tc.per'0"})</f>
        <v>Valor Mercado da empresa 31Out25 Em moeda orig em milhares</v>
      </c>
      <c r="AW1" t="str" cm="1">
        <f t="array" ref="AW1">_xll.ECONOMATICA($B$2:$B$1376,"MarketCapitaliz",,"2025-11-30",,,"ORIGINAL CURRENCY","THOUSANDS","false","true",,{"tc.dft'false";"tc.tp'0";"tc.pers'22";"tc.per'0"})</f>
        <v>Valor Mercado da empresa 30Nov25 Em moeda orig em milhares</v>
      </c>
      <c r="AX1" t="str" cm="1">
        <f t="array" ref="AX1">_xll.ECONOMATICA($B$2:$B$1376,"MarketCapitaliz",,"2025-12-31",,,"ORIGINAL CURRENCY","THOUSANDS","false","true",,{"tc.dft'false";"tc.tp'0";"tc.pers'22";"tc.per'0"})</f>
        <v>Valor Mercado da empresa 31Dez25 Em moeda orig em milhares</v>
      </c>
      <c r="AY1" t="str" cm="1">
        <f t="array" ref="AY1">_xll.ECONOMATICA($B$2:$B$1376,"MarketCapitaliz",,"2026-01-31",,,"ORIGINAL CURRENCY","THOUSANDS","false","true",,{"tc.dft'false";"tc.tp'0";"tc.pers'22";"tc.per'0"})</f>
        <v>Valor Mercado da empresa 31Jan26 Em moeda orig em milhares</v>
      </c>
      <c r="AZ1" t="str" cm="1">
        <f t="array" ref="AZ1">_xll.ECONOMATICA($B$2:$B$1376,"MarketCapitaliz",,"D-0",,,"ORIGINAL CURRENCY","THOUSANDS","false","true",,{"tc.dft'false";"tc.tp'0";"tc.pers'22";"tc.per'0"})</f>
        <v>Valor Mercado da empresa 17Ago26 Em moeda orig em milhares</v>
      </c>
    </row>
    <row r="2" spans="1:57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10775.583707</v>
      </c>
      <c r="K2">
        <v>11990.950032000001</v>
      </c>
      <c r="L2">
        <v>13481.076272</v>
      </c>
      <c r="M2">
        <v>10790.173363</v>
      </c>
      <c r="N2">
        <v>9881.5950909000003</v>
      </c>
      <c r="O2">
        <v>7057.1580000000004</v>
      </c>
      <c r="P2">
        <v>8435.4164762</v>
      </c>
      <c r="Q2">
        <v>10271.740435</v>
      </c>
      <c r="R2">
        <v>17518.616619</v>
      </c>
      <c r="S2">
        <v>11226.372588</v>
      </c>
      <c r="AJ2">
        <v>5022788.6760999998</v>
      </c>
      <c r="AK2">
        <v>4857123.0839999998</v>
      </c>
      <c r="AL2">
        <v>4640113.7710999995</v>
      </c>
      <c r="AM2">
        <v>4878006.7090999996</v>
      </c>
      <c r="AN2">
        <v>4738635.0888</v>
      </c>
      <c r="AO2">
        <v>4929184.1025</v>
      </c>
      <c r="AP2">
        <v>5217721.7084999997</v>
      </c>
      <c r="AQ2">
        <v>5037385.7048000004</v>
      </c>
      <c r="AR2">
        <v>5383630.8320000004</v>
      </c>
      <c r="AS2">
        <v>5116733.5464000003</v>
      </c>
      <c r="AT2">
        <v>5299474.0301999999</v>
      </c>
      <c r="AU2">
        <v>5602516.4857000001</v>
      </c>
      <c r="AV2">
        <v>5544684.0575000001</v>
      </c>
      <c r="AW2">
        <v>5891678.6270000003</v>
      </c>
      <c r="AX2">
        <v>5715563.8346999995</v>
      </c>
      <c r="AY2">
        <v>6467992.4913999997</v>
      </c>
      <c r="AZ2">
        <v>5829888.9488000004</v>
      </c>
    </row>
    <row r="3" spans="1:57" x14ac:dyDescent="0.35">
      <c r="A3" t="s">
        <v>99</v>
      </c>
      <c r="B3" t="s">
        <v>283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431094.96140999999</v>
      </c>
      <c r="K3">
        <v>411569.36966000003</v>
      </c>
      <c r="L3">
        <v>357256.20831999998</v>
      </c>
      <c r="M3">
        <v>367046.20327</v>
      </c>
      <c r="N3">
        <v>369421.76290999999</v>
      </c>
      <c r="O3">
        <v>337804.48395000002</v>
      </c>
      <c r="P3">
        <v>380572.20533000003</v>
      </c>
      <c r="Q3">
        <v>405125.60794999998</v>
      </c>
      <c r="R3">
        <v>394394.00910000002</v>
      </c>
      <c r="S3">
        <v>439471.63753000001</v>
      </c>
      <c r="AJ3">
        <v>198804132</v>
      </c>
      <c r="AK3">
        <v>200219667.75</v>
      </c>
      <c r="AL3">
        <v>184644959</v>
      </c>
      <c r="AM3">
        <v>174736413.5</v>
      </c>
      <c r="AN3">
        <v>192194327</v>
      </c>
      <c r="AO3">
        <v>211236727.5</v>
      </c>
      <c r="AP3">
        <v>227979194.05000001</v>
      </c>
      <c r="AQ3">
        <v>219529724.94999999</v>
      </c>
      <c r="AR3">
        <v>207688237.19999999</v>
      </c>
      <c r="AS3">
        <v>205037561.5</v>
      </c>
      <c r="AT3">
        <v>192563793.5</v>
      </c>
      <c r="AU3">
        <v>188512522.18000001</v>
      </c>
      <c r="AV3">
        <v>198179831.00999999</v>
      </c>
      <c r="AW3">
        <v>216111129.63999999</v>
      </c>
      <c r="AX3">
        <v>216445050.36000001</v>
      </c>
      <c r="AY3">
        <v>231905411.09999999</v>
      </c>
      <c r="AZ3">
        <v>226692502.65000001</v>
      </c>
    </row>
    <row r="4" spans="1:57" x14ac:dyDescent="0.35">
      <c r="A4" t="s">
        <v>93</v>
      </c>
      <c r="B4" t="s">
        <v>277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1806.7740976</v>
      </c>
      <c r="K4">
        <v>1461.0053934</v>
      </c>
      <c r="L4">
        <v>466.46954545</v>
      </c>
      <c r="M4">
        <v>501.46111364000001</v>
      </c>
      <c r="N4">
        <v>445.97142423999998</v>
      </c>
      <c r="O4">
        <v>265.26963635999999</v>
      </c>
      <c r="P4">
        <v>251.61464286</v>
      </c>
      <c r="Q4">
        <v>294.73266129000001</v>
      </c>
      <c r="R4">
        <v>160.94919048</v>
      </c>
      <c r="S4">
        <v>72.219411765000004</v>
      </c>
      <c r="AJ4">
        <v>380579.48361</v>
      </c>
      <c r="AK4">
        <v>325423.03671000001</v>
      </c>
      <c r="AL4">
        <v>350005.24190000002</v>
      </c>
      <c r="AM4">
        <v>402720.5673</v>
      </c>
      <c r="AN4">
        <v>260511.7825</v>
      </c>
      <c r="AO4">
        <v>233177.21119999999</v>
      </c>
      <c r="AP4">
        <v>271835.53831999999</v>
      </c>
      <c r="AQ4">
        <v>257722.1808</v>
      </c>
      <c r="AR4">
        <v>255267.68384000001</v>
      </c>
      <c r="AS4">
        <v>269994.66560000001</v>
      </c>
      <c r="AT4">
        <v>254040.43536</v>
      </c>
      <c r="AU4">
        <v>247391.31872000001</v>
      </c>
      <c r="AV4">
        <v>254757.80960000001</v>
      </c>
      <c r="AW4">
        <v>249846.81568</v>
      </c>
      <c r="AX4">
        <v>203192.37344</v>
      </c>
      <c r="AY4">
        <v>193370.38560000001</v>
      </c>
      <c r="AZ4">
        <v>139519.70248000001</v>
      </c>
    </row>
    <row r="5" spans="1:57" x14ac:dyDescent="0.35">
      <c r="A5" t="s">
        <v>459</v>
      </c>
      <c r="B5" t="s">
        <v>472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AJ5">
        <v>4898842.9210000001</v>
      </c>
      <c r="AK5">
        <v>6091252.5553000001</v>
      </c>
      <c r="BE5" s="3" t="s">
        <v>486</v>
      </c>
    </row>
    <row r="6" spans="1:57" x14ac:dyDescent="0.35">
      <c r="A6" t="s">
        <v>112</v>
      </c>
      <c r="B6" t="s">
        <v>296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4151.7481706999997</v>
      </c>
      <c r="K6">
        <v>4005.2664098</v>
      </c>
      <c r="L6">
        <v>2839.3041818000002</v>
      </c>
      <c r="M6">
        <v>2628.2284545000002</v>
      </c>
      <c r="N6">
        <v>2915.9730152000002</v>
      </c>
      <c r="O6">
        <v>3193.9876364000002</v>
      </c>
      <c r="P6">
        <v>3326.9420237999998</v>
      </c>
      <c r="Q6">
        <v>3398.0204032000001</v>
      </c>
      <c r="R6">
        <v>3549.2719999999999</v>
      </c>
      <c r="S6">
        <v>1857.6004118000001</v>
      </c>
      <c r="AJ6">
        <v>2418195.1061999998</v>
      </c>
      <c r="AK6">
        <v>2424356.1127999998</v>
      </c>
      <c r="AL6">
        <v>2271357.7812999999</v>
      </c>
      <c r="AM6">
        <v>2366853.3842000002</v>
      </c>
      <c r="AN6">
        <v>2132735.1318999999</v>
      </c>
      <c r="AO6">
        <v>2244336.2461999999</v>
      </c>
      <c r="AP6">
        <v>2109855.3793000001</v>
      </c>
      <c r="AQ6">
        <v>2093916.9061</v>
      </c>
      <c r="AR6">
        <v>1972386.0486000001</v>
      </c>
      <c r="AS6">
        <v>2020201.4680000001</v>
      </c>
      <c r="AT6">
        <v>2118820.7703999998</v>
      </c>
      <c r="AU6">
        <v>2079339.7409999999</v>
      </c>
      <c r="AV6">
        <v>2051615.2111</v>
      </c>
      <c r="AW6">
        <v>2043400.5356000001</v>
      </c>
      <c r="AX6">
        <v>1986332.2126</v>
      </c>
      <c r="AY6">
        <v>2124797.6978000002</v>
      </c>
      <c r="AZ6">
        <v>1865758.1775</v>
      </c>
      <c r="BE6" s="3" t="s">
        <v>487</v>
      </c>
    </row>
    <row r="7" spans="1:57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78749.847999999998</v>
      </c>
      <c r="K7">
        <v>80904.180901999993</v>
      </c>
      <c r="L7">
        <v>88472.095318000007</v>
      </c>
      <c r="M7">
        <v>92769.98</v>
      </c>
      <c r="N7">
        <v>86220.064606</v>
      </c>
      <c r="O7">
        <v>68279.959317999994</v>
      </c>
      <c r="P7">
        <v>97397.334929000004</v>
      </c>
      <c r="Q7">
        <v>135011.26415</v>
      </c>
      <c r="R7">
        <v>150336.87742999999</v>
      </c>
      <c r="S7">
        <v>101480.36311000001</v>
      </c>
      <c r="AJ7">
        <v>11628549.916999999</v>
      </c>
      <c r="AK7">
        <v>10351091.676000001</v>
      </c>
      <c r="AL7">
        <v>9176452.1976999994</v>
      </c>
      <c r="AM7">
        <v>9774365.7037000004</v>
      </c>
      <c r="AN7">
        <v>9166318.0704999994</v>
      </c>
      <c r="AO7">
        <v>9579461.0939000007</v>
      </c>
      <c r="AP7">
        <v>10646071.241</v>
      </c>
      <c r="AQ7">
        <v>11126796.942</v>
      </c>
      <c r="AR7">
        <v>11351187.707</v>
      </c>
      <c r="AS7">
        <v>10701691.931</v>
      </c>
      <c r="AT7">
        <v>11970706.754000001</v>
      </c>
      <c r="AU7">
        <v>12894102.161</v>
      </c>
      <c r="AV7">
        <v>12454814.127</v>
      </c>
      <c r="AW7">
        <v>14152063.346999999</v>
      </c>
      <c r="AX7">
        <v>14161758.728</v>
      </c>
      <c r="AY7">
        <v>15424686.102</v>
      </c>
      <c r="AZ7">
        <v>12722613.119999999</v>
      </c>
      <c r="BE7" s="3" t="s">
        <v>488</v>
      </c>
    </row>
    <row r="8" spans="1:57" x14ac:dyDescent="0.35">
      <c r="A8" t="s">
        <v>94</v>
      </c>
      <c r="B8" t="s">
        <v>278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20519.208901999998</v>
      </c>
      <c r="K8">
        <v>19865.590164000001</v>
      </c>
      <c r="L8">
        <v>9145.1390455000001</v>
      </c>
      <c r="M8">
        <v>13894.730522</v>
      </c>
      <c r="N8">
        <v>14383.275212</v>
      </c>
      <c r="O8">
        <v>21281.581226999999</v>
      </c>
      <c r="P8">
        <v>22224.313071</v>
      </c>
      <c r="Q8">
        <v>24177.307581000001</v>
      </c>
      <c r="R8">
        <v>40399.945286000002</v>
      </c>
      <c r="S8">
        <v>17281.419824000001</v>
      </c>
      <c r="AJ8">
        <v>4557961.6205000002</v>
      </c>
      <c r="AK8">
        <v>4193552.1153000002</v>
      </c>
      <c r="AL8">
        <v>4111966.6570000001</v>
      </c>
      <c r="AM8">
        <v>4128968.1063999999</v>
      </c>
      <c r="AN8">
        <v>4339516.5467999997</v>
      </c>
      <c r="AO8">
        <v>4497527.4967</v>
      </c>
      <c r="AP8">
        <v>4856239.0086000003</v>
      </c>
      <c r="AQ8">
        <v>6135803.4437999995</v>
      </c>
      <c r="AR8">
        <v>6093204.1456000004</v>
      </c>
      <c r="AS8">
        <v>5377684.0351999998</v>
      </c>
      <c r="AT8">
        <v>6364510.0369999995</v>
      </c>
      <c r="AU8">
        <v>6374792.1995999999</v>
      </c>
      <c r="AV8">
        <v>7245930.3651999999</v>
      </c>
      <c r="AW8">
        <v>7194047.4424000001</v>
      </c>
      <c r="AX8">
        <v>7563924.8996000001</v>
      </c>
      <c r="AY8">
        <v>8583012.3035000004</v>
      </c>
      <c r="AZ8">
        <v>7325496.2697000001</v>
      </c>
    </row>
    <row r="9" spans="1:57" x14ac:dyDescent="0.35">
      <c r="A9" t="s">
        <v>97</v>
      </c>
      <c r="B9" t="s">
        <v>281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30072.750854000002</v>
      </c>
      <c r="K9">
        <v>33414.925967000003</v>
      </c>
      <c r="L9">
        <v>30020.730135999998</v>
      </c>
      <c r="M9">
        <v>32244.913908999999</v>
      </c>
      <c r="N9">
        <v>27923.743833</v>
      </c>
      <c r="O9">
        <v>20998.917863999999</v>
      </c>
      <c r="P9">
        <v>23793.491023999999</v>
      </c>
      <c r="Q9">
        <v>23588.103773999999</v>
      </c>
      <c r="R9">
        <v>29145.671237999999</v>
      </c>
      <c r="S9">
        <v>27255.433000000001</v>
      </c>
      <c r="AJ9">
        <v>9391793.0550999995</v>
      </c>
      <c r="AK9">
        <v>8874224.7504999992</v>
      </c>
      <c r="AL9">
        <v>8527102.6722999997</v>
      </c>
      <c r="AM9">
        <v>9142580.3911000006</v>
      </c>
      <c r="AN9">
        <v>8891602.2640000004</v>
      </c>
      <c r="AO9">
        <v>9373482.3057000004</v>
      </c>
      <c r="AP9">
        <v>10339441.611</v>
      </c>
      <c r="AQ9">
        <v>10638309.09</v>
      </c>
      <c r="AR9">
        <v>10544063.755000001</v>
      </c>
      <c r="AS9">
        <v>10263399.975</v>
      </c>
      <c r="AT9">
        <v>10114936.801000001</v>
      </c>
      <c r="AU9">
        <v>10942553.726</v>
      </c>
      <c r="AV9">
        <v>11040943.486</v>
      </c>
      <c r="AW9">
        <v>11646862.251</v>
      </c>
      <c r="AX9">
        <v>11165982.919</v>
      </c>
      <c r="AY9">
        <v>11867117.581</v>
      </c>
      <c r="AZ9">
        <v>10499603.635</v>
      </c>
    </row>
    <row r="10" spans="1:57" x14ac:dyDescent="0.35">
      <c r="A10" t="s">
        <v>100</v>
      </c>
      <c r="B10" t="s">
        <v>284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13688.897561</v>
      </c>
      <c r="K10">
        <v>22413.690328000001</v>
      </c>
      <c r="L10">
        <v>9353.8117727000008</v>
      </c>
      <c r="M10">
        <v>8542.7018181999993</v>
      </c>
      <c r="N10">
        <v>10603.49403</v>
      </c>
      <c r="O10">
        <v>40924.730409000003</v>
      </c>
      <c r="P10">
        <v>26156.017309999999</v>
      </c>
      <c r="Q10">
        <v>19468.314322999999</v>
      </c>
      <c r="R10">
        <v>4481.6320951999996</v>
      </c>
      <c r="S10">
        <v>766.83014705999994</v>
      </c>
      <c r="AJ10">
        <v>21598507.067000002</v>
      </c>
      <c r="AK10">
        <v>26892062.280000001</v>
      </c>
      <c r="AL10">
        <v>21683709.969999999</v>
      </c>
      <c r="AM10">
        <v>22497683.083000001</v>
      </c>
      <c r="AN10">
        <v>20878076.745999999</v>
      </c>
      <c r="AO10">
        <v>20460570.544</v>
      </c>
      <c r="AP10">
        <v>20320657.818</v>
      </c>
      <c r="AQ10">
        <v>31980051.647999998</v>
      </c>
      <c r="AR10">
        <v>27336253.243999999</v>
      </c>
      <c r="AS10">
        <v>22702424.949999999</v>
      </c>
      <c r="AT10">
        <v>22252376.877999999</v>
      </c>
      <c r="AU10">
        <v>14201516.929</v>
      </c>
      <c r="AV10">
        <v>583395.64850000001</v>
      </c>
      <c r="AW10">
        <v>433379.62459999998</v>
      </c>
      <c r="AX10">
        <v>450048.07169999997</v>
      </c>
      <c r="AY10">
        <v>466716.51880000002</v>
      </c>
      <c r="AZ10">
        <v>233358.25940000001</v>
      </c>
    </row>
    <row r="11" spans="1:57" x14ac:dyDescent="0.35">
      <c r="A11" t="s">
        <v>101</v>
      </c>
      <c r="B11" t="s">
        <v>285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16828.241389999999</v>
      </c>
      <c r="K11">
        <v>16984.921541</v>
      </c>
      <c r="L11">
        <v>7556.0267272999999</v>
      </c>
      <c r="M11">
        <v>9293.1617499999993</v>
      </c>
      <c r="N11">
        <v>13200.686014999999</v>
      </c>
      <c r="O11">
        <v>9916.6175000000003</v>
      </c>
      <c r="P11">
        <v>10537.422356999999</v>
      </c>
      <c r="Q11">
        <v>11861.870580000001</v>
      </c>
      <c r="R11">
        <v>11870.920808999999</v>
      </c>
      <c r="S11">
        <v>6875.2533824000002</v>
      </c>
      <c r="AJ11">
        <v>740894.78949999996</v>
      </c>
      <c r="AK11">
        <v>1655999.9754999999</v>
      </c>
      <c r="AL11">
        <v>1241513.9036000001</v>
      </c>
      <c r="AM11">
        <v>1301587.1569999999</v>
      </c>
      <c r="AN11">
        <v>1085323.4447999999</v>
      </c>
      <c r="AO11">
        <v>1141392.1509</v>
      </c>
      <c r="AP11">
        <v>1133382.3814000001</v>
      </c>
      <c r="AQ11">
        <v>1027252.9358</v>
      </c>
      <c r="AR11">
        <v>1135384.8862000001</v>
      </c>
      <c r="AS11">
        <v>1053284.7445</v>
      </c>
      <c r="AT11">
        <v>1317607.1518000001</v>
      </c>
      <c r="AU11">
        <v>1223496.4918</v>
      </c>
      <c r="AV11">
        <v>1101347.0874999999</v>
      </c>
      <c r="AW11">
        <v>1189454.8544999999</v>
      </c>
      <c r="AX11">
        <v>1027256.4652</v>
      </c>
      <c r="AY11">
        <v>1147403.4202000001</v>
      </c>
      <c r="AZ11">
        <v>760931.77899999998</v>
      </c>
    </row>
    <row r="12" spans="1:57" x14ac:dyDescent="0.35">
      <c r="A12" t="s">
        <v>104</v>
      </c>
      <c r="B12" t="s">
        <v>288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2367.2218779999998</v>
      </c>
      <c r="K12">
        <v>2413.3698033000001</v>
      </c>
      <c r="L12">
        <v>732.39186364</v>
      </c>
      <c r="M12">
        <v>836.68336364000004</v>
      </c>
      <c r="N12">
        <v>747.90766667000003</v>
      </c>
      <c r="O12">
        <v>644.20390909000002</v>
      </c>
      <c r="P12">
        <v>631.88952381000001</v>
      </c>
      <c r="Q12">
        <v>681.11535484000001</v>
      </c>
      <c r="R12">
        <v>555.99652380999999</v>
      </c>
      <c r="S12">
        <v>272.24405882000002</v>
      </c>
      <c r="AL12">
        <v>644062.96967999998</v>
      </c>
      <c r="AM12">
        <v>587233.88411999994</v>
      </c>
      <c r="AN12">
        <v>473575.71299999999</v>
      </c>
      <c r="AO12">
        <v>473575.71299999999</v>
      </c>
      <c r="AP12">
        <v>511461.77003999997</v>
      </c>
      <c r="AQ12">
        <v>473575.71299999999</v>
      </c>
      <c r="AR12">
        <v>442888.00679999997</v>
      </c>
      <c r="AS12">
        <v>416367.76686999999</v>
      </c>
      <c r="AT12">
        <v>486078.11181999999</v>
      </c>
      <c r="AU12">
        <v>491761.02038</v>
      </c>
      <c r="AV12">
        <v>492518.74151999998</v>
      </c>
      <c r="AW12">
        <v>489108.99638999999</v>
      </c>
      <c r="AX12">
        <v>471681.40964999999</v>
      </c>
      <c r="AY12">
        <v>501611.39468000003</v>
      </c>
      <c r="AZ12">
        <v>445161.16975</v>
      </c>
    </row>
    <row r="13" spans="1:57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34112.977853999997</v>
      </c>
      <c r="K13">
        <v>31277.377131000001</v>
      </c>
      <c r="L13">
        <v>21751.244545000001</v>
      </c>
      <c r="M13">
        <v>23152.289205000001</v>
      </c>
      <c r="N13">
        <v>21648.909667</v>
      </c>
      <c r="O13">
        <v>18363.048545000001</v>
      </c>
      <c r="P13">
        <v>22925.412737999999</v>
      </c>
      <c r="Q13">
        <v>23359.015726000001</v>
      </c>
      <c r="R13">
        <v>48528.912237999997</v>
      </c>
      <c r="S13">
        <v>26958.414264999999</v>
      </c>
      <c r="AJ13">
        <v>963142.75710000005</v>
      </c>
      <c r="AK13">
        <v>808284.50988000003</v>
      </c>
      <c r="AL13">
        <v>596770.80636000005</v>
      </c>
      <c r="AM13">
        <v>793176.38820000004</v>
      </c>
      <c r="AN13">
        <v>638318.14098000003</v>
      </c>
      <c r="AO13">
        <v>868716.99659999995</v>
      </c>
      <c r="AP13">
        <v>1204872.7039999999</v>
      </c>
      <c r="AQ13">
        <v>1605237.9284999999</v>
      </c>
      <c r="AR13">
        <v>1601460.8981000001</v>
      </c>
      <c r="AS13">
        <v>1389947.1946</v>
      </c>
      <c r="AT13">
        <v>1272859.2515</v>
      </c>
      <c r="AU13">
        <v>1296059.6011000001</v>
      </c>
      <c r="AV13">
        <v>1333845.5952999999</v>
      </c>
      <c r="AW13">
        <v>1447203.5778999999</v>
      </c>
      <c r="AX13">
        <v>1250716.4080000001</v>
      </c>
      <c r="AY13">
        <v>1976207.4967</v>
      </c>
      <c r="AZ13">
        <v>853964.06330000004</v>
      </c>
    </row>
    <row r="14" spans="1:57" x14ac:dyDescent="0.35">
      <c r="A14" t="s">
        <v>102</v>
      </c>
      <c r="B14" t="s">
        <v>286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5009.5276585000001</v>
      </c>
      <c r="K14">
        <v>5734.7563278999996</v>
      </c>
      <c r="L14">
        <v>9503.1693636</v>
      </c>
      <c r="M14">
        <v>6746.4220908999996</v>
      </c>
      <c r="N14">
        <v>6454.5182273</v>
      </c>
      <c r="O14">
        <v>3635.7489544999999</v>
      </c>
      <c r="P14">
        <v>4994.311119</v>
      </c>
      <c r="Q14">
        <v>4658.3106613</v>
      </c>
      <c r="R14">
        <v>2936.7499048</v>
      </c>
      <c r="S14">
        <v>3003.2649999999999</v>
      </c>
      <c r="AJ14">
        <v>2585729.2949999999</v>
      </c>
      <c r="AK14">
        <v>2319194.9500000002</v>
      </c>
      <c r="AL14">
        <v>1741389.2845999999</v>
      </c>
      <c r="AM14">
        <v>1727541.2585</v>
      </c>
      <c r="AN14">
        <v>1526744.8796999999</v>
      </c>
      <c r="AO14">
        <v>1305261.1209</v>
      </c>
      <c r="AP14">
        <v>1516457.2174</v>
      </c>
      <c r="AQ14">
        <v>1696493.2341</v>
      </c>
      <c r="AR14">
        <v>1177163.6706000001</v>
      </c>
      <c r="AS14">
        <v>1263719.8228</v>
      </c>
      <c r="AT14">
        <v>1384898.436</v>
      </c>
      <c r="AU14">
        <v>1284691.4282</v>
      </c>
      <c r="AV14">
        <v>1298542.5488</v>
      </c>
      <c r="AW14">
        <v>1624043.8810000001</v>
      </c>
      <c r="AX14">
        <v>1551872.8914999999</v>
      </c>
      <c r="AY14">
        <v>1659256.9532000001</v>
      </c>
      <c r="AZ14">
        <v>1048482.8533</v>
      </c>
    </row>
    <row r="15" spans="1:57" x14ac:dyDescent="0.35">
      <c r="A15" t="s">
        <v>103</v>
      </c>
      <c r="B15" t="s">
        <v>287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133944.59554000001</v>
      </c>
      <c r="K15">
        <v>132668.35128</v>
      </c>
      <c r="L15">
        <v>130069.86595000001</v>
      </c>
      <c r="M15">
        <v>150655.76352000001</v>
      </c>
      <c r="N15">
        <v>160299.88623999999</v>
      </c>
      <c r="O15">
        <v>171160.83209000001</v>
      </c>
      <c r="P15">
        <v>157286.67293</v>
      </c>
      <c r="Q15">
        <v>147946.49384000001</v>
      </c>
      <c r="R15">
        <v>159090.09899999999</v>
      </c>
      <c r="S15">
        <v>72435.621853000004</v>
      </c>
      <c r="AJ15">
        <v>10127154.1</v>
      </c>
      <c r="AK15">
        <v>8923794</v>
      </c>
      <c r="AL15">
        <v>7591580.0926000001</v>
      </c>
      <c r="AM15">
        <v>9223163.0254999995</v>
      </c>
      <c r="AN15">
        <v>8993932.3654999994</v>
      </c>
      <c r="AO15">
        <v>10167275.300000001</v>
      </c>
      <c r="AP15">
        <v>12392209.550000001</v>
      </c>
      <c r="AQ15">
        <v>15129552.9</v>
      </c>
      <c r="AR15">
        <v>15168762.619999999</v>
      </c>
      <c r="AS15">
        <v>13148057.119999999</v>
      </c>
      <c r="AT15">
        <v>14171881.24</v>
      </c>
      <c r="AU15">
        <v>12783741.42</v>
      </c>
      <c r="AV15">
        <v>11560481.199999999</v>
      </c>
      <c r="AW15">
        <v>12703086.9</v>
      </c>
      <c r="AX15">
        <v>9767634.2400000002</v>
      </c>
      <c r="AY15">
        <v>11498437.560000001</v>
      </c>
      <c r="AZ15">
        <v>10894901.6</v>
      </c>
    </row>
    <row r="16" spans="1:57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45709.943756000001</v>
      </c>
      <c r="K16">
        <v>43899.031148000002</v>
      </c>
      <c r="L16">
        <v>33997.601590999999</v>
      </c>
      <c r="M16">
        <v>42007.883455000003</v>
      </c>
      <c r="N16">
        <v>41834.862999999998</v>
      </c>
      <c r="O16">
        <v>63881.544954999998</v>
      </c>
      <c r="P16">
        <v>67708.390857000006</v>
      </c>
      <c r="Q16">
        <v>60783.257097000002</v>
      </c>
      <c r="R16">
        <v>49943.626904999997</v>
      </c>
      <c r="S16">
        <v>35920.962205999997</v>
      </c>
      <c r="AJ16">
        <v>10250000</v>
      </c>
      <c r="AK16">
        <v>10356726.823000001</v>
      </c>
      <c r="AL16">
        <v>9164457.0600000005</v>
      </c>
      <c r="AM16">
        <v>8485221.3599999994</v>
      </c>
      <c r="AN16">
        <v>8140378.6200000001</v>
      </c>
      <c r="AO16">
        <v>7774636.3200000003</v>
      </c>
      <c r="AP16">
        <v>9331653.5399999991</v>
      </c>
      <c r="AQ16">
        <v>10324382.640000001</v>
      </c>
      <c r="AR16">
        <v>10627426.26</v>
      </c>
      <c r="AS16">
        <v>9864592.3200000003</v>
      </c>
      <c r="AT16">
        <v>11348461.08</v>
      </c>
      <c r="AU16">
        <v>10731924.060000001</v>
      </c>
      <c r="AV16">
        <v>11484308.220000001</v>
      </c>
      <c r="AW16">
        <v>12821880.060000001</v>
      </c>
      <c r="AX16">
        <v>12398547.359999999</v>
      </c>
      <c r="AY16">
        <v>11761385.279999999</v>
      </c>
      <c r="AZ16">
        <v>10550813.5</v>
      </c>
    </row>
    <row r="17" spans="1:52" x14ac:dyDescent="0.35">
      <c r="A17" t="s">
        <v>96</v>
      </c>
      <c r="B17" t="s">
        <v>280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32.944195122000004</v>
      </c>
      <c r="K17">
        <v>32.523590163999998</v>
      </c>
      <c r="L17">
        <v>9.6231818182000008</v>
      </c>
      <c r="M17">
        <v>16.646681818000001</v>
      </c>
      <c r="N17">
        <v>18.357409091000001</v>
      </c>
      <c r="O17">
        <v>26.684318181999998</v>
      </c>
      <c r="P17">
        <v>29.541166666999999</v>
      </c>
      <c r="Q17">
        <v>26.907419354999998</v>
      </c>
      <c r="R17">
        <v>13.158952381000001</v>
      </c>
      <c r="S17">
        <v>2.1843823529000002</v>
      </c>
      <c r="AJ17">
        <v>578176.10736000002</v>
      </c>
      <c r="AK17">
        <v>488324.41499999998</v>
      </c>
      <c r="AL17">
        <v>531296.96351999999</v>
      </c>
      <c r="AM17">
        <v>435585.37818</v>
      </c>
      <c r="AN17">
        <v>398472.72263999999</v>
      </c>
      <c r="AO17">
        <v>404332.61562</v>
      </c>
      <c r="AP17">
        <v>394566.12732000003</v>
      </c>
      <c r="AQ17">
        <v>427772.18754000001</v>
      </c>
      <c r="AR17">
        <v>335967.19751999999</v>
      </c>
      <c r="AS17">
        <v>337920.49518000003</v>
      </c>
      <c r="AT17">
        <v>347686.98348</v>
      </c>
      <c r="AU17">
        <v>328154.00688</v>
      </c>
      <c r="AV17">
        <v>292994.64899999998</v>
      </c>
      <c r="AW17">
        <v>234395.71919999999</v>
      </c>
      <c r="AX17">
        <v>179703.38472</v>
      </c>
      <c r="AY17">
        <v>166030.30110000001</v>
      </c>
      <c r="AZ17">
        <v>81951.891000000003</v>
      </c>
    </row>
    <row r="18" spans="1:52" x14ac:dyDescent="0.35">
      <c r="A18" t="s">
        <v>105</v>
      </c>
      <c r="B18" t="s">
        <v>289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3890.3874390000001</v>
      </c>
      <c r="K18">
        <v>3022.1162951000001</v>
      </c>
      <c r="L18">
        <v>2181.9744090999998</v>
      </c>
      <c r="M18">
        <v>1535.1056136</v>
      </c>
      <c r="N18">
        <v>1473.1680606</v>
      </c>
      <c r="O18">
        <v>1686.3396364</v>
      </c>
      <c r="P18">
        <v>2306.0023095000001</v>
      </c>
      <c r="Q18">
        <v>2267.8152258</v>
      </c>
      <c r="R18">
        <v>2679.538</v>
      </c>
      <c r="S18">
        <v>5766.8834705999998</v>
      </c>
      <c r="AJ18">
        <v>230501.73764000001</v>
      </c>
      <c r="AK18">
        <v>181105.36989</v>
      </c>
      <c r="AL18">
        <v>185730.34273999999</v>
      </c>
      <c r="AM18">
        <v>229872.40979000001</v>
      </c>
      <c r="AN18">
        <v>687462.52122</v>
      </c>
      <c r="AO18">
        <v>590338.52943</v>
      </c>
      <c r="AP18">
        <v>428407.04745000001</v>
      </c>
      <c r="AQ18">
        <v>390558.42875999998</v>
      </c>
      <c r="AR18">
        <v>313632.25047000003</v>
      </c>
      <c r="AS18">
        <v>335849.84532000002</v>
      </c>
      <c r="AT18">
        <v>294225.27740999998</v>
      </c>
      <c r="AU18">
        <v>237102.23879999999</v>
      </c>
      <c r="AV18">
        <v>207464.45895</v>
      </c>
      <c r="AW18">
        <v>126498.46294</v>
      </c>
      <c r="AX18">
        <v>132557.82631999999</v>
      </c>
      <c r="AY18">
        <v>142656.76422000001</v>
      </c>
      <c r="AZ18">
        <v>309693.94186999998</v>
      </c>
    </row>
    <row r="19" spans="1:52" x14ac:dyDescent="0.35">
      <c r="A19" t="s">
        <v>492</v>
      </c>
      <c r="B19" t="s">
        <v>491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134306.83306999999</v>
      </c>
      <c r="K19">
        <v>99549.615655999994</v>
      </c>
      <c r="L19">
        <v>15380.897681</v>
      </c>
      <c r="M19">
        <v>13284.179613</v>
      </c>
      <c r="N19">
        <v>37507.976197000004</v>
      </c>
      <c r="O19">
        <v>19302.189817999999</v>
      </c>
      <c r="P19">
        <v>17386.237667000001</v>
      </c>
      <c r="Q19">
        <v>18837.592241999999</v>
      </c>
      <c r="R19">
        <v>5396.7915199999998</v>
      </c>
      <c r="S19">
        <v>0</v>
      </c>
      <c r="AJ19">
        <v>1975222.0845999999</v>
      </c>
      <c r="AK19">
        <v>1714409.3093000001</v>
      </c>
      <c r="AL19">
        <v>1231036.2992</v>
      </c>
      <c r="AM19">
        <v>1599651.6882</v>
      </c>
      <c r="AN19">
        <v>1347290.1745</v>
      </c>
      <c r="AO19">
        <v>1461243.5774000001</v>
      </c>
      <c r="AP19">
        <v>652896.06648000004</v>
      </c>
      <c r="AQ19">
        <v>399732.2856</v>
      </c>
      <c r="AR19">
        <v>878204.65630000003</v>
      </c>
      <c r="AS19">
        <v>628609.64872000006</v>
      </c>
      <c r="AT19">
        <v>628609.64872000006</v>
      </c>
      <c r="AU19">
        <v>1109311.1447999999</v>
      </c>
      <c r="AV19">
        <v>1053845.5876</v>
      </c>
      <c r="AW19">
        <v>952158.73262000002</v>
      </c>
      <c r="AX19">
        <v>166396.67172000001</v>
      </c>
      <c r="AY19">
        <v>7737941.7494000001</v>
      </c>
      <c r="AZ19">
        <v>7666004.8191999998</v>
      </c>
    </row>
    <row r="20" spans="1:52" x14ac:dyDescent="0.35">
      <c r="A20" t="s">
        <v>106</v>
      </c>
      <c r="B20" t="s">
        <v>290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90041.556976000007</v>
      </c>
      <c r="K20">
        <v>98929.639869000006</v>
      </c>
      <c r="L20">
        <v>69031.765954999995</v>
      </c>
      <c r="M20">
        <v>73652.286386000007</v>
      </c>
      <c r="N20">
        <v>68608.801651000002</v>
      </c>
      <c r="O20">
        <v>77957.998000000007</v>
      </c>
      <c r="P20">
        <v>72573.095333000005</v>
      </c>
      <c r="Q20">
        <v>79504.166870999994</v>
      </c>
      <c r="R20">
        <v>84788.297237999999</v>
      </c>
      <c r="S20">
        <v>36828.006852999999</v>
      </c>
      <c r="AJ20">
        <v>8514705.5958999991</v>
      </c>
      <c r="AK20">
        <v>7575280.0269999998</v>
      </c>
      <c r="AL20">
        <v>6107353.9665999999</v>
      </c>
      <c r="AM20">
        <v>7160346.0297999997</v>
      </c>
      <c r="AN20">
        <v>5368194.8320000004</v>
      </c>
      <c r="AO20">
        <v>5058491.284</v>
      </c>
      <c r="AP20">
        <v>6573973.9789000005</v>
      </c>
      <c r="AQ20">
        <v>9115607.7628000006</v>
      </c>
      <c r="AR20">
        <v>8879061.9590000007</v>
      </c>
      <c r="AS20">
        <v>7582305.9334000004</v>
      </c>
      <c r="AT20">
        <v>7167261.4091999996</v>
      </c>
      <c r="AU20">
        <v>6081678.0044999998</v>
      </c>
      <c r="AV20">
        <v>5791209.8013000004</v>
      </c>
      <c r="AW20">
        <v>5841638.3087999998</v>
      </c>
      <c r="AX20">
        <v>5080443.6174999997</v>
      </c>
      <c r="AY20">
        <v>5399485.7843000004</v>
      </c>
      <c r="AZ20">
        <v>3026573.1332</v>
      </c>
    </row>
    <row r="21" spans="1:52" x14ac:dyDescent="0.35">
      <c r="A21" t="s">
        <v>98</v>
      </c>
      <c r="B21" t="s">
        <v>282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331.98019512000002</v>
      </c>
      <c r="K21">
        <v>490.31413114999998</v>
      </c>
      <c r="L21">
        <v>595.88622726999995</v>
      </c>
      <c r="M21">
        <v>501.84704545</v>
      </c>
      <c r="N21">
        <v>513.06003029999999</v>
      </c>
      <c r="O21">
        <v>245.22027273</v>
      </c>
      <c r="P21">
        <v>286.16130951999997</v>
      </c>
      <c r="Q21">
        <v>300.04395161000002</v>
      </c>
      <c r="R21">
        <v>486.76180951999999</v>
      </c>
      <c r="S21">
        <v>315.57473528999998</v>
      </c>
      <c r="AJ21">
        <v>5119805.9089000002</v>
      </c>
      <c r="AK21">
        <v>4748139.2805000003</v>
      </c>
      <c r="AL21">
        <v>4818212.1743000001</v>
      </c>
      <c r="AM21">
        <v>5044687.7669000002</v>
      </c>
      <c r="AN21">
        <v>4982463.0372000001</v>
      </c>
      <c r="AO21">
        <v>4905102.5625</v>
      </c>
      <c r="AP21">
        <v>4989190.0350000001</v>
      </c>
      <c r="AQ21">
        <v>4260431.9400000004</v>
      </c>
      <c r="AR21">
        <v>4171299.2192000002</v>
      </c>
      <c r="AS21">
        <v>3980140.3650000002</v>
      </c>
      <c r="AT21">
        <v>4092817.5781999999</v>
      </c>
      <c r="AU21">
        <v>4220630.5363999996</v>
      </c>
      <c r="AV21">
        <v>4417395.2220000001</v>
      </c>
      <c r="AW21">
        <v>4192601.3788999999</v>
      </c>
      <c r="AX21">
        <v>4360776.3239000002</v>
      </c>
      <c r="AY21">
        <v>4851286.5800999999</v>
      </c>
      <c r="AZ21">
        <v>3380316.3944999999</v>
      </c>
    </row>
    <row r="22" spans="1:52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744018.06246000004</v>
      </c>
      <c r="K22">
        <v>739552.58476999996</v>
      </c>
      <c r="L22">
        <v>688661.08200000005</v>
      </c>
      <c r="M22">
        <v>791902.48961000005</v>
      </c>
      <c r="N22">
        <v>791405.28457999998</v>
      </c>
      <c r="O22">
        <v>509878.55232000002</v>
      </c>
      <c r="P22">
        <v>543926.88789999997</v>
      </c>
      <c r="Q22">
        <v>519581.6115</v>
      </c>
      <c r="R22">
        <v>742689.52989999996</v>
      </c>
      <c r="S22">
        <v>408162.06900000002</v>
      </c>
      <c r="AJ22">
        <v>150290534.30000001</v>
      </c>
      <c r="AK22">
        <v>141386119.81</v>
      </c>
      <c r="AL22">
        <v>137963507.40000001</v>
      </c>
      <c r="AM22">
        <v>157770432.13</v>
      </c>
      <c r="AN22">
        <v>155886776.46000001</v>
      </c>
      <c r="AO22">
        <v>160921589.19</v>
      </c>
      <c r="AP22">
        <v>165145852.27000001</v>
      </c>
      <c r="AQ22">
        <v>133692217.77</v>
      </c>
      <c r="AR22">
        <v>126099961.83</v>
      </c>
      <c r="AS22">
        <v>113598426.45</v>
      </c>
      <c r="AT22">
        <v>122104037.28</v>
      </c>
      <c r="AU22">
        <v>126099961.83</v>
      </c>
      <c r="AV22">
        <v>125015353.73</v>
      </c>
      <c r="AW22">
        <v>128269178.01000001</v>
      </c>
      <c r="AX22">
        <v>125129523.01000001</v>
      </c>
      <c r="AY22">
        <v>143967453.03</v>
      </c>
      <c r="AZ22">
        <v>102476038.03</v>
      </c>
    </row>
    <row r="23" spans="1:52" x14ac:dyDescent="0.35">
      <c r="A23" t="s">
        <v>110</v>
      </c>
      <c r="B23" t="s">
        <v>294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110249.40221</v>
      </c>
      <c r="K23">
        <v>124569.44383</v>
      </c>
      <c r="L23">
        <v>90481.937590999994</v>
      </c>
      <c r="M23">
        <v>93228.495955000006</v>
      </c>
      <c r="N23">
        <v>97376.566105999998</v>
      </c>
      <c r="O23">
        <v>90781.552500000005</v>
      </c>
      <c r="P23">
        <v>92512.748428999999</v>
      </c>
      <c r="Q23">
        <v>94083.800145000001</v>
      </c>
      <c r="R23">
        <v>100656.13661</v>
      </c>
      <c r="S23">
        <v>96216.622971000004</v>
      </c>
      <c r="AJ23">
        <v>143779299.87</v>
      </c>
      <c r="AK23">
        <v>126011813.45999999</v>
      </c>
      <c r="AL23">
        <v>114645738.97</v>
      </c>
      <c r="AM23">
        <v>122863329.62</v>
      </c>
      <c r="AN23">
        <v>114413649.59</v>
      </c>
      <c r="AO23">
        <v>127019532.95999999</v>
      </c>
      <c r="AP23">
        <v>137277818.97</v>
      </c>
      <c r="AQ23">
        <v>159589651.72</v>
      </c>
      <c r="AR23">
        <v>165723532.22</v>
      </c>
      <c r="AS23">
        <v>153983992.63999999</v>
      </c>
      <c r="AT23">
        <v>165352786.25999999</v>
      </c>
      <c r="AU23">
        <v>174078270.65000001</v>
      </c>
      <c r="AV23">
        <v>177831301.03</v>
      </c>
      <c r="AW23">
        <v>192425847.38</v>
      </c>
      <c r="AX23">
        <v>178678248.47</v>
      </c>
      <c r="AY23">
        <v>209559977.68000001</v>
      </c>
      <c r="AZ23">
        <v>161459887.08000001</v>
      </c>
    </row>
    <row r="24" spans="1:52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572488.08345999999</v>
      </c>
      <c r="K24">
        <v>559276.59521000006</v>
      </c>
      <c r="L24">
        <v>407345.48944999999</v>
      </c>
      <c r="M24">
        <v>451263.0528</v>
      </c>
      <c r="N24">
        <v>459401.13344000001</v>
      </c>
      <c r="O24">
        <v>531895.02705000003</v>
      </c>
      <c r="P24">
        <v>537910.82080999995</v>
      </c>
      <c r="Q24">
        <v>554143.71692000004</v>
      </c>
      <c r="R24">
        <v>620889.94452000002</v>
      </c>
      <c r="S24">
        <v>570708.20765</v>
      </c>
      <c r="AJ24">
        <v>143779299.87</v>
      </c>
      <c r="AK24">
        <v>126011813.45999999</v>
      </c>
      <c r="AL24">
        <v>114645738.97</v>
      </c>
      <c r="AM24">
        <v>122863329.62</v>
      </c>
      <c r="AN24">
        <v>114413649.59</v>
      </c>
      <c r="AO24">
        <v>127019532.95999999</v>
      </c>
      <c r="AP24">
        <v>137277818.97</v>
      </c>
      <c r="AQ24">
        <v>159589651.72</v>
      </c>
      <c r="AR24">
        <v>165723532.22</v>
      </c>
      <c r="AS24">
        <v>153983992.63999999</v>
      </c>
      <c r="AT24">
        <v>165352786.25999999</v>
      </c>
      <c r="AU24">
        <v>174078270.65000001</v>
      </c>
      <c r="AV24">
        <v>177831301.03</v>
      </c>
      <c r="AW24">
        <v>192425847.38</v>
      </c>
      <c r="AX24">
        <v>178678248.47</v>
      </c>
      <c r="AY24">
        <v>209559977.68000001</v>
      </c>
      <c r="AZ24">
        <v>161459887.08000001</v>
      </c>
    </row>
    <row r="25" spans="1:52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207462.45310000001</v>
      </c>
      <c r="K25">
        <v>205559.92337999999</v>
      </c>
      <c r="L25">
        <v>183552.38745000001</v>
      </c>
      <c r="M25">
        <v>210683.12075</v>
      </c>
      <c r="N25">
        <v>210735.27703</v>
      </c>
      <c r="O25">
        <v>120598.54904</v>
      </c>
      <c r="P25">
        <v>149610.76532999999</v>
      </c>
      <c r="Q25">
        <v>164844.12875999999</v>
      </c>
      <c r="R25">
        <v>204715.78675999999</v>
      </c>
      <c r="S25">
        <v>227266.00974000001</v>
      </c>
      <c r="AJ25">
        <v>66524444.870999999</v>
      </c>
      <c r="AK25">
        <v>65087967.217</v>
      </c>
      <c r="AL25">
        <v>70232110.166999996</v>
      </c>
      <c r="AM25">
        <v>74910368.473000005</v>
      </c>
      <c r="AN25">
        <v>73454478.959000006</v>
      </c>
      <c r="AO25">
        <v>78230960.833000004</v>
      </c>
      <c r="AP25">
        <v>83025761.658000007</v>
      </c>
      <c r="AQ25">
        <v>72814971.237000003</v>
      </c>
      <c r="AR25">
        <v>69495493.741999999</v>
      </c>
      <c r="AS25">
        <v>65283057.390000001</v>
      </c>
      <c r="AT25">
        <v>63710673.313000001</v>
      </c>
      <c r="AU25">
        <v>64564807.873000003</v>
      </c>
      <c r="AV25">
        <v>63768909.761</v>
      </c>
      <c r="AW25">
        <v>66214840.545999996</v>
      </c>
      <c r="AX25">
        <v>70174918.959999993</v>
      </c>
      <c r="AY25">
        <v>72426728.254999995</v>
      </c>
      <c r="AZ25">
        <v>72408570.691</v>
      </c>
    </row>
    <row r="26" spans="1:52" x14ac:dyDescent="0.35">
      <c r="A26" t="s">
        <v>206</v>
      </c>
      <c r="B26" t="s">
        <v>388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116059.74695</v>
      </c>
      <c r="K26">
        <v>101298.15468000001</v>
      </c>
      <c r="L26">
        <v>73058.859773000004</v>
      </c>
      <c r="M26">
        <v>77263.463273000001</v>
      </c>
      <c r="N26">
        <v>71687.177849</v>
      </c>
      <c r="O26">
        <v>68366.715635999994</v>
      </c>
      <c r="P26">
        <v>99977.868595000007</v>
      </c>
      <c r="Q26">
        <v>87889.285677000007</v>
      </c>
      <c r="R26">
        <v>76682.738475999999</v>
      </c>
      <c r="S26">
        <v>35838.980028999998</v>
      </c>
      <c r="AJ26">
        <v>3412290.5447999998</v>
      </c>
      <c r="AK26">
        <v>3441706.8426000001</v>
      </c>
      <c r="AL26">
        <v>2994579.1159999999</v>
      </c>
      <c r="AM26">
        <v>2906330.2226</v>
      </c>
      <c r="AN26">
        <v>2600400.7255000002</v>
      </c>
      <c r="AO26">
        <v>3718220.0419000001</v>
      </c>
      <c r="AP26">
        <v>3589044.9371000002</v>
      </c>
      <c r="AQ26">
        <v>3060708.3727000002</v>
      </c>
      <c r="AR26">
        <v>4778348.4447999997</v>
      </c>
      <c r="AS26">
        <v>5041645.1957999999</v>
      </c>
      <c r="AT26">
        <v>5880294.1065999996</v>
      </c>
      <c r="AU26">
        <v>6649360.3688000003</v>
      </c>
      <c r="AV26">
        <v>7072949.2515000002</v>
      </c>
      <c r="AW26">
        <v>6137113.3476999998</v>
      </c>
      <c r="AX26">
        <v>5675954.8205000004</v>
      </c>
      <c r="AY26">
        <v>6099680.6144000003</v>
      </c>
      <c r="AZ26">
        <v>3359973.0987</v>
      </c>
    </row>
    <row r="27" spans="1:52" x14ac:dyDescent="0.35">
      <c r="A27" t="s">
        <v>121</v>
      </c>
      <c r="B27" t="s">
        <v>305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30562.401415</v>
      </c>
      <c r="K27">
        <v>26983.537327999999</v>
      </c>
      <c r="L27">
        <v>13581.148363</v>
      </c>
      <c r="M27">
        <v>16590.387022999999</v>
      </c>
      <c r="N27">
        <v>23086.402924000002</v>
      </c>
      <c r="O27">
        <v>15269.227272</v>
      </c>
      <c r="P27">
        <v>18847.248476000001</v>
      </c>
      <c r="Q27">
        <v>17502.002806</v>
      </c>
      <c r="R27">
        <v>12469.068809</v>
      </c>
      <c r="S27">
        <v>5440.1056765000003</v>
      </c>
      <c r="AJ27">
        <v>391684.28</v>
      </c>
      <c r="AK27">
        <v>353656.68</v>
      </c>
      <c r="AL27">
        <v>274758.08</v>
      </c>
      <c r="AM27">
        <v>331801.28000000003</v>
      </c>
      <c r="AN27">
        <v>251940.8</v>
      </c>
      <c r="AO27">
        <v>854697.28</v>
      </c>
      <c r="AP27">
        <v>517191.67999999999</v>
      </c>
      <c r="AQ27">
        <v>378386.56</v>
      </c>
      <c r="AR27">
        <v>295673.92</v>
      </c>
      <c r="AS27">
        <v>301378.24</v>
      </c>
      <c r="AT27">
        <v>2811612.6242999998</v>
      </c>
      <c r="AU27">
        <v>2563142.96</v>
      </c>
      <c r="AV27">
        <v>2353906.7999999998</v>
      </c>
      <c r="AW27">
        <v>2255827.35</v>
      </c>
      <c r="AX27">
        <v>2935803.6666000001</v>
      </c>
      <c r="AY27">
        <v>3001043.7481</v>
      </c>
      <c r="AZ27">
        <v>446048.06884000002</v>
      </c>
    </row>
    <row r="28" spans="1:52" x14ac:dyDescent="0.35">
      <c r="A28" t="s">
        <v>108</v>
      </c>
      <c r="B28" t="s">
        <v>292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5324.9518293000001</v>
      </c>
      <c r="K28">
        <v>4671.4505081999996</v>
      </c>
      <c r="L28">
        <v>4878.0910455000003</v>
      </c>
      <c r="M28">
        <v>4012.6762045</v>
      </c>
      <c r="N28">
        <v>3574.3500908999999</v>
      </c>
      <c r="O28">
        <v>2045.0345909</v>
      </c>
      <c r="P28">
        <v>2756.7865000000002</v>
      </c>
      <c r="Q28">
        <v>3445.1642258000002</v>
      </c>
      <c r="R28">
        <v>7437.3062381</v>
      </c>
      <c r="S28">
        <v>2390.2919118</v>
      </c>
      <c r="AJ28">
        <v>2665211.085</v>
      </c>
      <c r="AK28">
        <v>2379145.0951999999</v>
      </c>
      <c r="AL28">
        <v>2336501.7178000002</v>
      </c>
      <c r="AM28">
        <v>2370261.0583000001</v>
      </c>
      <c r="AN28">
        <v>2206794.7784000002</v>
      </c>
      <c r="AO28">
        <v>2260099.0000999998</v>
      </c>
      <c r="AP28">
        <v>2293858.3404999999</v>
      </c>
      <c r="AQ28">
        <v>2487530.3459999999</v>
      </c>
      <c r="AR28">
        <v>2450217.3908000002</v>
      </c>
      <c r="AS28">
        <v>2205017.9709999999</v>
      </c>
      <c r="AT28">
        <v>2297411.9553</v>
      </c>
      <c r="AU28">
        <v>2469762.2721000002</v>
      </c>
      <c r="AV28">
        <v>2377368.2878</v>
      </c>
      <c r="AW28">
        <v>2334724.9105000002</v>
      </c>
      <c r="AX28">
        <v>2496414.3829000001</v>
      </c>
      <c r="AY28">
        <v>2349117.0502999998</v>
      </c>
      <c r="AZ28">
        <v>2092723.7557000001</v>
      </c>
    </row>
    <row r="29" spans="1:52" x14ac:dyDescent="0.35">
      <c r="A29" t="s">
        <v>203</v>
      </c>
      <c r="B29" t="s">
        <v>385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527.76119512000002</v>
      </c>
      <c r="K29">
        <v>503.07336065999999</v>
      </c>
      <c r="L29">
        <v>370.49127272999999</v>
      </c>
      <c r="M29">
        <v>580.67475000000002</v>
      </c>
      <c r="N29">
        <v>725.17409091000002</v>
      </c>
      <c r="O29">
        <v>750.29972726999995</v>
      </c>
      <c r="P29">
        <v>873.50533332999998</v>
      </c>
      <c r="Q29">
        <v>1573.8313065</v>
      </c>
      <c r="R29">
        <v>2660.5083332999998</v>
      </c>
      <c r="S29">
        <v>1969.2738824</v>
      </c>
      <c r="AJ29">
        <v>4081776.23</v>
      </c>
      <c r="AK29">
        <v>4073045.7</v>
      </c>
      <c r="AL29">
        <v>3546793.32</v>
      </c>
      <c r="AM29">
        <v>3503250.44</v>
      </c>
      <c r="AN29">
        <v>3723037.77</v>
      </c>
      <c r="AO29">
        <v>3533225.3</v>
      </c>
      <c r="AP29">
        <v>3342136.56</v>
      </c>
      <c r="AQ29">
        <v>3643251.05</v>
      </c>
      <c r="AR29">
        <v>3753563.08</v>
      </c>
      <c r="AS29">
        <v>3478519.56</v>
      </c>
      <c r="AT29">
        <v>4459201.42</v>
      </c>
      <c r="AU29">
        <v>5060003.97</v>
      </c>
      <c r="AV29">
        <v>5108637.9800000004</v>
      </c>
      <c r="AW29">
        <v>5676410.5</v>
      </c>
      <c r="AX29">
        <v>6529675.9682999998</v>
      </c>
      <c r="AY29">
        <v>6785263.7800000003</v>
      </c>
      <c r="AZ29">
        <v>6490008.9299999997</v>
      </c>
    </row>
    <row r="30" spans="1:52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5817.9626097999999</v>
      </c>
      <c r="K30">
        <v>6777.1306393000004</v>
      </c>
      <c r="L30">
        <v>9025.6977272999993</v>
      </c>
      <c r="M30">
        <v>7844.7921136000004</v>
      </c>
      <c r="N30">
        <v>7831.9318030000004</v>
      </c>
      <c r="O30">
        <v>7906.3207272999998</v>
      </c>
      <c r="P30">
        <v>9800.3410000000003</v>
      </c>
      <c r="Q30">
        <v>9443.5818225999992</v>
      </c>
      <c r="R30">
        <v>10123.216476</v>
      </c>
      <c r="S30">
        <v>7140.1045000000004</v>
      </c>
      <c r="AJ30">
        <v>1319927.2046000001</v>
      </c>
      <c r="AK30">
        <v>1241176.6839999999</v>
      </c>
      <c r="AL30">
        <v>1162561.9634</v>
      </c>
      <c r="AM30">
        <v>1194237.0684</v>
      </c>
      <c r="AN30">
        <v>1241321.6839999999</v>
      </c>
      <c r="AO30">
        <v>1444290.4055999999</v>
      </c>
      <c r="AP30">
        <v>1592509.1294</v>
      </c>
      <c r="AQ30">
        <v>1605141.4069999999</v>
      </c>
      <c r="AR30">
        <v>1729779.8794</v>
      </c>
      <c r="AS30">
        <v>1729779.8794</v>
      </c>
      <c r="AT30">
        <v>1675882.1616</v>
      </c>
      <c r="AU30">
        <v>1952644.6029999999</v>
      </c>
      <c r="AV30">
        <v>1978803.6274999999</v>
      </c>
      <c r="AW30">
        <v>2280054.3289999999</v>
      </c>
      <c r="AX30">
        <v>1944166.5822999999</v>
      </c>
      <c r="AY30">
        <v>2122232.0377000002</v>
      </c>
      <c r="AZ30">
        <v>1939932.1603000001</v>
      </c>
    </row>
    <row r="31" spans="1:52" x14ac:dyDescent="0.35">
      <c r="A31" t="s">
        <v>460</v>
      </c>
      <c r="B31" t="s">
        <v>473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857634.86192000005</v>
      </c>
      <c r="K31">
        <v>832806.24928999995</v>
      </c>
      <c r="L31">
        <v>615751.63644000003</v>
      </c>
      <c r="M31">
        <v>655894.90220999997</v>
      </c>
      <c r="N31">
        <v>652258.21207999997</v>
      </c>
      <c r="O31">
        <v>797243.66371999995</v>
      </c>
      <c r="P31">
        <v>836039.85520999995</v>
      </c>
      <c r="Q31">
        <v>889048.49693000002</v>
      </c>
      <c r="R31">
        <v>964461.05429</v>
      </c>
      <c r="S31">
        <v>461555.99177999998</v>
      </c>
    </row>
    <row r="32" spans="1:52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302901.36606999999</v>
      </c>
      <c r="K32">
        <v>295627.11407000001</v>
      </c>
      <c r="L32">
        <v>363485.41535999998</v>
      </c>
      <c r="M32">
        <v>384714.76747999998</v>
      </c>
      <c r="N32">
        <v>362410.06874000002</v>
      </c>
      <c r="O32">
        <v>389279.94691</v>
      </c>
      <c r="P32">
        <v>426352.51666999998</v>
      </c>
      <c r="Q32">
        <v>432931.07702000003</v>
      </c>
      <c r="R32">
        <v>459414.43823999999</v>
      </c>
      <c r="S32">
        <v>555727.65109000006</v>
      </c>
      <c r="AJ32">
        <v>148553695.03</v>
      </c>
      <c r="AK32">
        <v>143103157.63999999</v>
      </c>
      <c r="AL32">
        <v>133565749.61</v>
      </c>
      <c r="AM32">
        <v>148430508.69</v>
      </c>
      <c r="AN32">
        <v>154611937.99000001</v>
      </c>
      <c r="AO32">
        <v>164815231.84999999</v>
      </c>
      <c r="AP32">
        <v>200014030.94</v>
      </c>
      <c r="AQ32">
        <v>202766036.63999999</v>
      </c>
      <c r="AR32">
        <v>213082406.34</v>
      </c>
      <c r="AS32">
        <v>195503558.72999999</v>
      </c>
      <c r="AT32">
        <v>223933883.21000001</v>
      </c>
      <c r="AU32">
        <v>246775500.75</v>
      </c>
      <c r="AV32">
        <v>248927900.52000001</v>
      </c>
      <c r="AW32">
        <v>277183870.60000002</v>
      </c>
      <c r="AX32">
        <v>322737633.32999998</v>
      </c>
      <c r="AY32">
        <v>362152241.44999999</v>
      </c>
      <c r="AZ32">
        <v>225791708.63</v>
      </c>
    </row>
    <row r="33" spans="1:52" x14ac:dyDescent="0.35">
      <c r="A33" t="s">
        <v>117</v>
      </c>
      <c r="B33" t="s">
        <v>301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60.029292683000001</v>
      </c>
      <c r="K33">
        <v>49.921967213000002</v>
      </c>
      <c r="L33">
        <v>28.917136364000001</v>
      </c>
      <c r="M33">
        <v>33.657136364000003</v>
      </c>
      <c r="N33">
        <v>39.910803029999997</v>
      </c>
      <c r="O33">
        <v>60.686318182000001</v>
      </c>
      <c r="P33">
        <v>63.006357143000002</v>
      </c>
      <c r="Q33">
        <v>78.481790322999998</v>
      </c>
      <c r="R33">
        <v>129.73709524</v>
      </c>
      <c r="S33">
        <v>235.74444118</v>
      </c>
      <c r="AJ33">
        <v>148553695.03</v>
      </c>
      <c r="AK33">
        <v>143103157.63999999</v>
      </c>
      <c r="AL33">
        <v>133565749.61</v>
      </c>
      <c r="AM33">
        <v>148430508.69</v>
      </c>
      <c r="AN33">
        <v>154611937.99000001</v>
      </c>
      <c r="AO33">
        <v>164815231.84999999</v>
      </c>
      <c r="AP33">
        <v>200014030.94</v>
      </c>
      <c r="AQ33">
        <v>202766036.63999999</v>
      </c>
      <c r="AR33">
        <v>213082406.34</v>
      </c>
      <c r="AS33">
        <v>195503558.72999999</v>
      </c>
      <c r="AT33">
        <v>223933883.21000001</v>
      </c>
      <c r="AU33">
        <v>246775500.75</v>
      </c>
      <c r="AV33">
        <v>248927900.52000001</v>
      </c>
      <c r="AW33">
        <v>277183870.60000002</v>
      </c>
      <c r="AX33">
        <v>322737633.32999998</v>
      </c>
      <c r="AY33">
        <v>362152241.44999999</v>
      </c>
      <c r="AZ33">
        <v>225791708.63</v>
      </c>
    </row>
    <row r="34" spans="1:52" x14ac:dyDescent="0.35">
      <c r="A34" t="s">
        <v>107</v>
      </c>
      <c r="B34" t="s">
        <v>291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11085.668292</v>
      </c>
      <c r="K34">
        <v>12318.512376999999</v>
      </c>
      <c r="L34">
        <v>11516.690544999999</v>
      </c>
      <c r="M34">
        <v>12834.184294999999</v>
      </c>
      <c r="N34">
        <v>11591.954484</v>
      </c>
      <c r="O34">
        <v>31662.908181999999</v>
      </c>
      <c r="P34">
        <v>31114.561689999999</v>
      </c>
      <c r="Q34">
        <v>25700.812870999998</v>
      </c>
      <c r="R34">
        <v>14480.393952</v>
      </c>
      <c r="S34">
        <v>0</v>
      </c>
      <c r="AJ34">
        <v>10629843.062000001</v>
      </c>
      <c r="AK34">
        <v>8941573.8697999995</v>
      </c>
      <c r="AL34">
        <v>7928612.3545000004</v>
      </c>
      <c r="AM34">
        <v>8741482.7062999997</v>
      </c>
      <c r="AN34">
        <v>8854033.9857999999</v>
      </c>
      <c r="AO34">
        <v>9116653.6379000004</v>
      </c>
      <c r="AP34">
        <v>9516835.9649</v>
      </c>
      <c r="AQ34">
        <v>11380184.925000001</v>
      </c>
      <c r="AR34">
        <v>10117109.455</v>
      </c>
      <c r="AS34">
        <v>9766949.9192999993</v>
      </c>
      <c r="AT34">
        <v>9679410.0352999996</v>
      </c>
      <c r="AU34">
        <v>9729432.8261999991</v>
      </c>
      <c r="AV34">
        <v>12943397.140000001</v>
      </c>
      <c r="AW34">
        <v>14231484.005000001</v>
      </c>
      <c r="AX34">
        <v>14156449.819</v>
      </c>
      <c r="AY34">
        <v>15944764.593</v>
      </c>
    </row>
    <row r="35" spans="1:52" x14ac:dyDescent="0.35">
      <c r="A35" t="s">
        <v>111</v>
      </c>
      <c r="B35" t="s">
        <v>295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84325.937781000001</v>
      </c>
      <c r="K35">
        <v>77689.914443000001</v>
      </c>
      <c r="L35">
        <v>51400.953181999997</v>
      </c>
      <c r="M35">
        <v>53018.671885999996</v>
      </c>
      <c r="N35">
        <v>48506.562758</v>
      </c>
      <c r="O35">
        <v>33582.387318000001</v>
      </c>
      <c r="P35">
        <v>62604.329976000001</v>
      </c>
      <c r="Q35">
        <v>81914.574015999999</v>
      </c>
      <c r="R35">
        <v>78193.679237999997</v>
      </c>
      <c r="S35">
        <v>38489.975912000002</v>
      </c>
      <c r="AJ35">
        <v>7527239.0800000001</v>
      </c>
      <c r="AK35">
        <v>7040135.0499999998</v>
      </c>
      <c r="AL35">
        <v>6404396.46</v>
      </c>
      <c r="AM35">
        <v>6464706.0099999998</v>
      </c>
      <c r="AN35">
        <v>6380520.7000000002</v>
      </c>
      <c r="AO35">
        <v>6884438.5700000003</v>
      </c>
      <c r="AP35">
        <v>6244189.1299999999</v>
      </c>
      <c r="AQ35">
        <v>6006742.2999999998</v>
      </c>
      <c r="AR35">
        <v>6032253</v>
      </c>
      <c r="AS35">
        <v>6081894.5</v>
      </c>
      <c r="AT35">
        <v>6265061.46</v>
      </c>
      <c r="AU35">
        <v>6466085.9100000001</v>
      </c>
      <c r="AV35">
        <v>7068614.2800000003</v>
      </c>
      <c r="AW35">
        <v>7359134.9100000001</v>
      </c>
      <c r="AX35">
        <v>7539750.7999999998</v>
      </c>
      <c r="AY35">
        <v>8940149.9700000007</v>
      </c>
      <c r="AZ35">
        <v>7590273.5300000003</v>
      </c>
    </row>
    <row r="36" spans="1:52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208378.67417000001</v>
      </c>
      <c r="K36">
        <v>199426.69497000001</v>
      </c>
      <c r="L36">
        <v>127270.27654000001</v>
      </c>
      <c r="M36">
        <v>140511.07691</v>
      </c>
      <c r="N36">
        <v>137842.30592000001</v>
      </c>
      <c r="O36">
        <v>151958.69464</v>
      </c>
      <c r="P36">
        <v>133468.69063999999</v>
      </c>
      <c r="Q36">
        <v>156697.66277</v>
      </c>
      <c r="R36">
        <v>202210.65171000001</v>
      </c>
      <c r="S36">
        <v>148114.12805999999</v>
      </c>
      <c r="AJ36">
        <v>7881521.0548</v>
      </c>
      <c r="AK36">
        <v>9227599.4445999991</v>
      </c>
      <c r="AL36">
        <v>10917159.905999999</v>
      </c>
      <c r="AM36">
        <v>10332312.054</v>
      </c>
      <c r="AN36">
        <v>8359610.9655999998</v>
      </c>
      <c r="AO36">
        <v>10722249.522</v>
      </c>
      <c r="AP36">
        <v>8057932.9746000003</v>
      </c>
      <c r="AQ36">
        <v>8772749.6094000004</v>
      </c>
      <c r="AR36">
        <v>8076615.3503999999</v>
      </c>
      <c r="AS36">
        <v>9325241.5165999997</v>
      </c>
      <c r="AT36">
        <v>9306674.5847999994</v>
      </c>
      <c r="AU36">
        <v>8352484.9740000004</v>
      </c>
      <c r="AV36">
        <v>6856656.1854999997</v>
      </c>
      <c r="AW36">
        <v>6336367.9112999998</v>
      </c>
      <c r="AX36">
        <v>7822905.8377</v>
      </c>
      <c r="AY36">
        <v>8779864.6278000008</v>
      </c>
      <c r="AZ36">
        <v>8663728.8522999994</v>
      </c>
    </row>
    <row r="37" spans="1:52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4141.0969267999999</v>
      </c>
      <c r="K37">
        <v>3751.4097704999999</v>
      </c>
      <c r="L37">
        <v>3725.0700455000001</v>
      </c>
      <c r="M37">
        <v>3494.2748636000001</v>
      </c>
      <c r="N37">
        <v>4051.0520455000001</v>
      </c>
      <c r="O37">
        <v>6325.6569545000002</v>
      </c>
      <c r="P37">
        <v>6345.7281666999997</v>
      </c>
      <c r="Q37">
        <v>5590.5142581</v>
      </c>
      <c r="R37">
        <v>6070.306619</v>
      </c>
      <c r="S37">
        <v>4224.4720588</v>
      </c>
      <c r="AJ37">
        <v>1568635.8178000001</v>
      </c>
      <c r="AK37">
        <v>1594884.7438000001</v>
      </c>
      <c r="AL37">
        <v>1379643.5506</v>
      </c>
      <c r="AM37">
        <v>1411142.2618</v>
      </c>
      <c r="AN37">
        <v>1356544.4957000001</v>
      </c>
      <c r="AO37">
        <v>1420591.8751000001</v>
      </c>
      <c r="AP37">
        <v>1543436.8488</v>
      </c>
      <c r="AQ37">
        <v>1601184.486</v>
      </c>
      <c r="AR37">
        <v>1628483.3689999999</v>
      </c>
      <c r="AS37">
        <v>1636883.0253999999</v>
      </c>
      <c r="AT37">
        <v>1749228.4286</v>
      </c>
      <c r="AU37">
        <v>1900422.2424000001</v>
      </c>
      <c r="AV37">
        <v>2036916.6576</v>
      </c>
      <c r="AW37">
        <v>2177610.9010000001</v>
      </c>
      <c r="AX37">
        <v>2099914.08</v>
      </c>
      <c r="AY37">
        <v>2082064.8103</v>
      </c>
      <c r="AZ37">
        <v>1262048.3621</v>
      </c>
    </row>
    <row r="38" spans="1:52" x14ac:dyDescent="0.35">
      <c r="A38" t="s">
        <v>115</v>
      </c>
      <c r="B38" t="s">
        <v>299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188552.17515</v>
      </c>
      <c r="K38">
        <v>193948.84890000001</v>
      </c>
      <c r="L38">
        <v>222662.95545000001</v>
      </c>
      <c r="M38">
        <v>174182.06052</v>
      </c>
      <c r="N38">
        <v>228037.00924000001</v>
      </c>
      <c r="O38">
        <v>0</v>
      </c>
      <c r="P38">
        <v>0</v>
      </c>
      <c r="Q38">
        <v>0</v>
      </c>
      <c r="R38">
        <v>0</v>
      </c>
      <c r="S38">
        <v>0</v>
      </c>
      <c r="AJ38">
        <v>42969106.638999999</v>
      </c>
      <c r="AK38">
        <v>40642910.244999997</v>
      </c>
      <c r="AL38">
        <v>41104605.741999999</v>
      </c>
      <c r="AM38">
        <v>35658569.649999999</v>
      </c>
      <c r="AN38">
        <v>29061734.265000001</v>
      </c>
      <c r="AO38">
        <v>31484065.476</v>
      </c>
      <c r="AP38">
        <v>36315461.703000002</v>
      </c>
      <c r="AQ38">
        <v>32475941.522</v>
      </c>
      <c r="AR38">
        <v>32258245.009</v>
      </c>
      <c r="AS38">
        <v>34036132.395000003</v>
      </c>
      <c r="AT38">
        <v>33043078.179000001</v>
      </c>
      <c r="AU38">
        <v>28579854.638999999</v>
      </c>
    </row>
    <row r="39" spans="1:52" x14ac:dyDescent="0.35">
      <c r="A39" t="s">
        <v>461</v>
      </c>
      <c r="B39" t="s">
        <v>474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AJ39">
        <v>1381809.2396</v>
      </c>
      <c r="AK39">
        <v>1372894.3413</v>
      </c>
      <c r="AL39">
        <v>1363979.443</v>
      </c>
    </row>
    <row r="40" spans="1:52" x14ac:dyDescent="0.35">
      <c r="A40" t="s">
        <v>113</v>
      </c>
      <c r="B40" t="s">
        <v>297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379.81987805</v>
      </c>
      <c r="K40">
        <v>321.10475409999998</v>
      </c>
      <c r="L40">
        <v>222.58536364</v>
      </c>
      <c r="M40">
        <v>209.94127273000001</v>
      </c>
      <c r="N40">
        <v>237.06528788</v>
      </c>
      <c r="O40">
        <v>174.81840908999999</v>
      </c>
      <c r="P40">
        <v>190.83911904999999</v>
      </c>
      <c r="Q40">
        <v>183.35193548000001</v>
      </c>
      <c r="R40">
        <v>266.45804762</v>
      </c>
      <c r="S40">
        <v>162.59682352999999</v>
      </c>
      <c r="AJ40">
        <v>13766436.192</v>
      </c>
      <c r="AK40">
        <v>12072553.609999999</v>
      </c>
      <c r="AL40">
        <v>9464257.3184999991</v>
      </c>
      <c r="AM40">
        <v>11023724.173</v>
      </c>
      <c r="AN40">
        <v>8694074.7524999995</v>
      </c>
      <c r="AO40">
        <v>8909302.8620999996</v>
      </c>
      <c r="AP40">
        <v>8563367.9306000005</v>
      </c>
      <c r="AQ40">
        <v>9064234.2419000007</v>
      </c>
      <c r="AR40">
        <v>7469523.6037999997</v>
      </c>
      <c r="AS40">
        <v>7279680.0177999996</v>
      </c>
      <c r="AT40">
        <v>7739802.4197000004</v>
      </c>
      <c r="AU40">
        <v>5635823.9815999996</v>
      </c>
      <c r="AV40">
        <v>5727745.9976000004</v>
      </c>
      <c r="AW40">
        <v>6103855.9348999998</v>
      </c>
      <c r="AX40">
        <v>6380858.4738999996</v>
      </c>
      <c r="AY40">
        <v>7200844.8433999997</v>
      </c>
      <c r="AZ40">
        <v>3753429.3114999998</v>
      </c>
    </row>
    <row r="41" spans="1:52" x14ac:dyDescent="0.35">
      <c r="A41" t="s">
        <v>114</v>
      </c>
      <c r="B41" t="s">
        <v>298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44734.059462999998</v>
      </c>
      <c r="K41">
        <v>40942.276622999998</v>
      </c>
      <c r="L41">
        <v>37248.821318000002</v>
      </c>
      <c r="M41">
        <v>36016.152135999997</v>
      </c>
      <c r="N41">
        <v>35248.012682</v>
      </c>
      <c r="O41">
        <v>23906.236454999998</v>
      </c>
      <c r="P41">
        <v>27787.505429000001</v>
      </c>
      <c r="Q41">
        <v>30252.422371000001</v>
      </c>
      <c r="R41">
        <v>35547.924524000002</v>
      </c>
      <c r="S41">
        <v>38143.885117999998</v>
      </c>
      <c r="AJ41">
        <v>13766436.192</v>
      </c>
      <c r="AK41">
        <v>12072553.609999999</v>
      </c>
      <c r="AL41">
        <v>9464257.3184999991</v>
      </c>
      <c r="AM41">
        <v>11023724.173</v>
      </c>
      <c r="AN41">
        <v>8694074.7524999995</v>
      </c>
      <c r="AO41">
        <v>8909302.8620999996</v>
      </c>
      <c r="AP41">
        <v>8563367.9306000005</v>
      </c>
      <c r="AQ41">
        <v>9064234.2419000007</v>
      </c>
      <c r="AR41">
        <v>7469523.6037999997</v>
      </c>
      <c r="AS41">
        <v>7279680.0177999996</v>
      </c>
      <c r="AT41">
        <v>7739802.4197000004</v>
      </c>
      <c r="AU41">
        <v>5635823.9815999996</v>
      </c>
      <c r="AV41">
        <v>5727745.9976000004</v>
      </c>
      <c r="AW41">
        <v>6103855.9348999998</v>
      </c>
      <c r="AX41">
        <v>6380858.4738999996</v>
      </c>
      <c r="AY41">
        <v>7200844.8433999997</v>
      </c>
      <c r="AZ41">
        <v>3753429.3114999998</v>
      </c>
    </row>
    <row r="42" spans="1:52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14990.263902000001</v>
      </c>
      <c r="K42">
        <v>14616.326983000001</v>
      </c>
      <c r="L42">
        <v>13003.58459</v>
      </c>
      <c r="M42">
        <v>14020.675227</v>
      </c>
      <c r="N42">
        <v>14473.350075</v>
      </c>
      <c r="O42">
        <v>10889.623727</v>
      </c>
      <c r="P42">
        <v>13253.618381</v>
      </c>
      <c r="Q42">
        <v>17607.374758000002</v>
      </c>
      <c r="R42">
        <v>28890.908714000001</v>
      </c>
      <c r="S42">
        <v>15278.735028999999</v>
      </c>
      <c r="AJ42">
        <v>4864975.8262</v>
      </c>
      <c r="AK42">
        <v>4599674.3043999998</v>
      </c>
      <c r="AL42">
        <v>4474961.6542999996</v>
      </c>
      <c r="AM42">
        <v>4610223.6327999998</v>
      </c>
      <c r="AN42">
        <v>4708434.4165000003</v>
      </c>
      <c r="AO42">
        <v>4681260.1982000005</v>
      </c>
      <c r="AP42">
        <v>4868940.2085999995</v>
      </c>
      <c r="AQ42">
        <v>4992214.2632999998</v>
      </c>
      <c r="AR42">
        <v>4818087.6926999995</v>
      </c>
      <c r="AS42">
        <v>4595968.6009999998</v>
      </c>
      <c r="AT42">
        <v>4813935.6100000003</v>
      </c>
      <c r="AU42">
        <v>5271849.5071</v>
      </c>
      <c r="AV42">
        <v>5717319.3015000001</v>
      </c>
      <c r="AW42">
        <v>6051471.4857000001</v>
      </c>
      <c r="AX42">
        <v>6551365.5464000003</v>
      </c>
      <c r="AY42">
        <v>7509148.9644999998</v>
      </c>
      <c r="AZ42">
        <v>6149377.5319999997</v>
      </c>
    </row>
    <row r="43" spans="1:52" x14ac:dyDescent="0.35">
      <c r="A43" t="s">
        <v>116</v>
      </c>
      <c r="B43" t="s">
        <v>300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617.29573171000004</v>
      </c>
      <c r="K43">
        <v>588.59150820000002</v>
      </c>
      <c r="L43">
        <v>603.23586364000005</v>
      </c>
      <c r="M43">
        <v>598.62636364000002</v>
      </c>
      <c r="N43">
        <v>617.72327272999996</v>
      </c>
      <c r="O43">
        <v>466.53336364</v>
      </c>
      <c r="P43">
        <v>613.66919048</v>
      </c>
      <c r="Q43">
        <v>644.26820968000004</v>
      </c>
      <c r="R43">
        <v>867.59609523999995</v>
      </c>
      <c r="S43">
        <v>601.65035293999995</v>
      </c>
      <c r="AL43">
        <v>1130059.4454999999</v>
      </c>
      <c r="AM43">
        <v>1138819.5962</v>
      </c>
      <c r="AN43">
        <v>1151959.8223000001</v>
      </c>
      <c r="AO43">
        <v>1178240.2745000001</v>
      </c>
      <c r="AP43">
        <v>1217660.9528999999</v>
      </c>
      <c r="AQ43">
        <v>1226421.1036</v>
      </c>
      <c r="AR43">
        <v>1292122.2342000001</v>
      </c>
      <c r="AS43">
        <v>1173860.1991999999</v>
      </c>
      <c r="AT43">
        <v>1173860.1991999999</v>
      </c>
      <c r="AU43">
        <v>1265841.7819000001</v>
      </c>
      <c r="AV43">
        <v>1300882.3848999999</v>
      </c>
      <c r="AW43">
        <v>1519886.1534</v>
      </c>
      <c r="AX43">
        <v>1484845.5504000001</v>
      </c>
      <c r="AY43">
        <v>1458565.0981999999</v>
      </c>
      <c r="AZ43">
        <v>1222041.0282000001</v>
      </c>
    </row>
    <row r="44" spans="1:52" x14ac:dyDescent="0.35">
      <c r="A44" t="s">
        <v>119</v>
      </c>
      <c r="B44" t="s">
        <v>303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425.39521951</v>
      </c>
      <c r="K44">
        <v>365.57478688999998</v>
      </c>
      <c r="L44">
        <v>278.34845454999999</v>
      </c>
      <c r="M44">
        <v>308.15288636000002</v>
      </c>
      <c r="N44">
        <v>315.58843939000002</v>
      </c>
      <c r="O44">
        <v>177.3015</v>
      </c>
      <c r="P44">
        <v>281.20902381000002</v>
      </c>
      <c r="Q44">
        <v>257.61522581000003</v>
      </c>
      <c r="R44">
        <v>331.88157143000001</v>
      </c>
      <c r="S44">
        <v>120.14385294</v>
      </c>
      <c r="AJ44">
        <v>517976.09801000002</v>
      </c>
      <c r="AK44">
        <v>444278.60953000002</v>
      </c>
      <c r="AL44">
        <v>438897.12076999998</v>
      </c>
      <c r="AM44">
        <v>484502.25533999997</v>
      </c>
      <c r="AN44">
        <v>430947.60190000001</v>
      </c>
      <c r="AO44">
        <v>417558.93854</v>
      </c>
      <c r="AP44">
        <v>397475.94349999999</v>
      </c>
      <c r="AQ44">
        <v>407935.83675000002</v>
      </c>
      <c r="AR44">
        <v>438897.12076999998</v>
      </c>
      <c r="AS44">
        <v>389108.02889999998</v>
      </c>
      <c r="AT44">
        <v>404588.67090999999</v>
      </c>
      <c r="AU44">
        <v>407935.83675000002</v>
      </c>
      <c r="AV44">
        <v>394547.17339000001</v>
      </c>
      <c r="AW44">
        <v>388689.63316999999</v>
      </c>
      <c r="AX44">
        <v>417140.54281000001</v>
      </c>
      <c r="AY44">
        <v>397057.54777</v>
      </c>
      <c r="AZ44">
        <v>333461.39681000001</v>
      </c>
    </row>
    <row r="45" spans="1:52" x14ac:dyDescent="0.35">
      <c r="A45" t="s">
        <v>120</v>
      </c>
      <c r="B45" t="s">
        <v>304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8022.9719512000001</v>
      </c>
      <c r="K45">
        <v>7636.7227376999999</v>
      </c>
      <c r="L45">
        <v>7097.2321363999999</v>
      </c>
      <c r="M45">
        <v>5772.4538635999997</v>
      </c>
      <c r="N45">
        <v>5614.7684393999998</v>
      </c>
      <c r="O45">
        <v>4769.1866817999999</v>
      </c>
      <c r="P45">
        <v>4484.0018332999998</v>
      </c>
      <c r="Q45">
        <v>4563.2154194000004</v>
      </c>
      <c r="R45">
        <v>8178.0716190000003</v>
      </c>
      <c r="S45">
        <v>5032.5325000000003</v>
      </c>
      <c r="AJ45">
        <v>2694462.7327999999</v>
      </c>
      <c r="AK45">
        <v>2442070.0211</v>
      </c>
      <c r="AL45">
        <v>1995266.7072000001</v>
      </c>
      <c r="AM45">
        <v>1661016.8998</v>
      </c>
      <c r="AN45">
        <v>1210802.8736</v>
      </c>
      <c r="AO45">
        <v>1313124.2431999999</v>
      </c>
      <c r="AP45">
        <v>1487070.5715000001</v>
      </c>
      <c r="AQ45">
        <v>1620088.352</v>
      </c>
      <c r="AR45">
        <v>1746284.7078</v>
      </c>
      <c r="AS45">
        <v>1568927.6672</v>
      </c>
      <c r="AT45">
        <v>1657606.1875</v>
      </c>
      <c r="AU45">
        <v>1722409.7216</v>
      </c>
      <c r="AV45">
        <v>1869070.3514</v>
      </c>
      <c r="AW45">
        <v>1974802.4332999999</v>
      </c>
      <c r="AX45">
        <v>1875891.7760000001</v>
      </c>
      <c r="AY45">
        <v>2271534.4051000001</v>
      </c>
      <c r="AZ45">
        <v>1582570.5164999999</v>
      </c>
    </row>
    <row r="46" spans="1:52" x14ac:dyDescent="0.35">
      <c r="A46" t="s">
        <v>201</v>
      </c>
      <c r="B46" t="s">
        <v>383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44225.653365999999</v>
      </c>
      <c r="K46">
        <v>37099.686607000003</v>
      </c>
      <c r="L46">
        <v>25118.947227000001</v>
      </c>
      <c r="M46">
        <v>18600.261705000001</v>
      </c>
      <c r="N46">
        <v>15684.86803</v>
      </c>
      <c r="O46">
        <v>13082.587181000001</v>
      </c>
      <c r="P46">
        <v>11883.207285</v>
      </c>
      <c r="Q46">
        <v>10065.131887</v>
      </c>
      <c r="R46">
        <v>6855.2127619000003</v>
      </c>
      <c r="S46">
        <v>9516.4937059000004</v>
      </c>
      <c r="AJ46">
        <v>298118.88630000001</v>
      </c>
      <c r="AK46">
        <v>279813.34065000003</v>
      </c>
      <c r="AL46">
        <v>239715.47875000001</v>
      </c>
      <c r="AM46">
        <v>278069.95535</v>
      </c>
      <c r="AN46">
        <v>280685.03330000001</v>
      </c>
      <c r="AO46">
        <v>285058.41102</v>
      </c>
      <c r="AP46">
        <v>559655.96291999996</v>
      </c>
      <c r="AQ46">
        <v>699134.08452000003</v>
      </c>
      <c r="AR46">
        <v>803521.68857</v>
      </c>
      <c r="AS46">
        <v>646235.04978</v>
      </c>
      <c r="AT46">
        <v>532343.22704000003</v>
      </c>
      <c r="AU46">
        <v>462099.57020000002</v>
      </c>
      <c r="AV46">
        <v>505033.02659999998</v>
      </c>
      <c r="AW46">
        <v>456286.89262</v>
      </c>
      <c r="AX46">
        <v>441567.96059999999</v>
      </c>
      <c r="AY46">
        <v>449493.53937999997</v>
      </c>
      <c r="AZ46">
        <v>528138.87320999999</v>
      </c>
    </row>
    <row r="47" spans="1:52" x14ac:dyDescent="0.35">
      <c r="A47" t="s">
        <v>122</v>
      </c>
      <c r="B47" t="s">
        <v>306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28543.231049000002</v>
      </c>
      <c r="K47">
        <v>26505.148754000002</v>
      </c>
      <c r="L47">
        <v>17707.188727000001</v>
      </c>
      <c r="M47">
        <v>26666.802954999999</v>
      </c>
      <c r="N47">
        <v>26070.308076000001</v>
      </c>
      <c r="O47">
        <v>31639.659409</v>
      </c>
      <c r="P47">
        <v>31079.057380999999</v>
      </c>
      <c r="Q47">
        <v>30662.474999999999</v>
      </c>
      <c r="R47">
        <v>71883.413285999995</v>
      </c>
      <c r="S47">
        <v>25463.948412000002</v>
      </c>
      <c r="AJ47">
        <v>3789244.86</v>
      </c>
      <c r="AK47">
        <v>4134313.55</v>
      </c>
      <c r="AL47">
        <v>3053532.37</v>
      </c>
      <c r="AM47">
        <v>3541837.12</v>
      </c>
      <c r="AN47">
        <v>3379068.87</v>
      </c>
      <c r="AO47">
        <v>3131661.13</v>
      </c>
      <c r="AP47">
        <v>2558716.89</v>
      </c>
      <c r="AQ47">
        <v>3060043.1</v>
      </c>
      <c r="AR47">
        <v>3131661.13</v>
      </c>
      <c r="AS47">
        <v>3047021.64</v>
      </c>
      <c r="AT47">
        <v>2298287.69</v>
      </c>
      <c r="AU47">
        <v>2317819.88</v>
      </c>
      <c r="AV47">
        <v>3379068.87</v>
      </c>
      <c r="AW47">
        <v>3698094.64</v>
      </c>
      <c r="AX47">
        <v>4674704.1399999997</v>
      </c>
      <c r="AY47">
        <v>6627923.1399999997</v>
      </c>
      <c r="AZ47">
        <v>7252953.2199999997</v>
      </c>
    </row>
    <row r="48" spans="1:52" x14ac:dyDescent="0.35">
      <c r="A48" t="s">
        <v>208</v>
      </c>
      <c r="B48" t="s">
        <v>390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139353.64095</v>
      </c>
      <c r="K48">
        <v>120872.5425</v>
      </c>
      <c r="L48">
        <v>96108.988727000004</v>
      </c>
      <c r="M48">
        <v>100450.70947</v>
      </c>
      <c r="N48">
        <v>99320.904167000001</v>
      </c>
      <c r="O48">
        <v>140141.67123000001</v>
      </c>
      <c r="P48">
        <v>158380.84888000001</v>
      </c>
      <c r="Q48">
        <v>157485.10292</v>
      </c>
      <c r="R48">
        <v>128471.75485</v>
      </c>
      <c r="S48">
        <v>107652.40535</v>
      </c>
      <c r="AJ48">
        <v>24720333.204</v>
      </c>
      <c r="AK48">
        <v>22258389.816</v>
      </c>
      <c r="AL48">
        <v>20442878.52</v>
      </c>
      <c r="AM48">
        <v>23056029.166999999</v>
      </c>
      <c r="AN48">
        <v>23518355.818999998</v>
      </c>
      <c r="AO48">
        <v>23397748.866</v>
      </c>
      <c r="AP48">
        <v>27036058.613000002</v>
      </c>
      <c r="AQ48">
        <v>27096362.089000002</v>
      </c>
      <c r="AR48">
        <v>27724624.899999999</v>
      </c>
      <c r="AS48">
        <v>24829522.662999999</v>
      </c>
      <c r="AT48">
        <v>28951022.375999998</v>
      </c>
      <c r="AU48">
        <v>29910524.324000001</v>
      </c>
      <c r="AV48">
        <v>31920640.206</v>
      </c>
      <c r="AW48">
        <v>32101550.636</v>
      </c>
      <c r="AX48">
        <v>30277944.234999999</v>
      </c>
      <c r="AY48">
        <v>33695773.265000001</v>
      </c>
      <c r="AZ48">
        <v>27616567.109000001</v>
      </c>
    </row>
    <row r="49" spans="1:52" x14ac:dyDescent="0.35">
      <c r="A49" t="s">
        <v>123</v>
      </c>
      <c r="B49" t="s">
        <v>307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48549.784121999997</v>
      </c>
      <c r="K49">
        <v>47597.472902000001</v>
      </c>
      <c r="L49">
        <v>54672.519091000002</v>
      </c>
      <c r="M49">
        <v>63135.930226999997</v>
      </c>
      <c r="N49">
        <v>62554.807879</v>
      </c>
      <c r="O49">
        <v>57540.481136000002</v>
      </c>
      <c r="P49">
        <v>62099.908571</v>
      </c>
      <c r="Q49">
        <v>108979.51069</v>
      </c>
      <c r="R49">
        <v>159576.31133</v>
      </c>
      <c r="S49">
        <v>65729.236824000007</v>
      </c>
      <c r="AJ49">
        <v>3973119.8742999998</v>
      </c>
      <c r="AK49">
        <v>3223014.3569</v>
      </c>
      <c r="AL49">
        <v>2347198.5835000002</v>
      </c>
      <c r="AM49">
        <v>3000516.2787000001</v>
      </c>
      <c r="AN49">
        <v>3006608.6974999998</v>
      </c>
      <c r="AO49">
        <v>3190854.8480000002</v>
      </c>
      <c r="AP49">
        <v>3999084.56</v>
      </c>
      <c r="AQ49">
        <v>5357150.8419000003</v>
      </c>
      <c r="AR49">
        <v>5955295.8064000001</v>
      </c>
      <c r="AS49">
        <v>5031407.0877</v>
      </c>
      <c r="AT49">
        <v>5088960.8112000003</v>
      </c>
      <c r="AU49">
        <v>4964765.9342999998</v>
      </c>
      <c r="AV49">
        <v>4922357.9275000002</v>
      </c>
      <c r="AW49">
        <v>5379758.5718</v>
      </c>
      <c r="AX49">
        <v>3865186.9018000001</v>
      </c>
      <c r="AY49">
        <v>3613768.0046000001</v>
      </c>
      <c r="AZ49">
        <v>2352102.8843</v>
      </c>
    </row>
    <row r="50" spans="1:52" x14ac:dyDescent="0.35">
      <c r="A50" t="s">
        <v>124</v>
      </c>
      <c r="B50" t="s">
        <v>308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156.83468293000001</v>
      </c>
      <c r="K50">
        <v>137.86588524999999</v>
      </c>
      <c r="L50">
        <v>90.824681818000002</v>
      </c>
      <c r="M50">
        <v>152.40390909000001</v>
      </c>
      <c r="N50">
        <v>249.82898485000001</v>
      </c>
      <c r="O50">
        <v>128.46245454999999</v>
      </c>
      <c r="P50">
        <v>162.22057143000001</v>
      </c>
      <c r="Q50">
        <v>150.27058065</v>
      </c>
      <c r="R50">
        <v>93.390571429000005</v>
      </c>
      <c r="S50">
        <v>203.17773528999999</v>
      </c>
      <c r="AJ50">
        <v>1314951.6551999999</v>
      </c>
      <c r="AK50">
        <v>1196466.142</v>
      </c>
      <c r="AL50">
        <v>1175578.6416</v>
      </c>
      <c r="AM50">
        <v>1234633.2446999999</v>
      </c>
      <c r="AN50">
        <v>1250422.4077000001</v>
      </c>
      <c r="AO50">
        <v>1356104.7312</v>
      </c>
      <c r="AP50">
        <v>1526887.0992999999</v>
      </c>
      <c r="AQ50">
        <v>1429547.7012</v>
      </c>
      <c r="AR50">
        <v>1445333.6561</v>
      </c>
      <c r="AS50">
        <v>1442551.5315</v>
      </c>
      <c r="AT50">
        <v>1852843.8770999999</v>
      </c>
      <c r="AU50">
        <v>1705295.8525</v>
      </c>
      <c r="AV50">
        <v>1710112.3391</v>
      </c>
      <c r="AW50">
        <v>2008565.6338</v>
      </c>
      <c r="AX50">
        <v>1994420.669</v>
      </c>
      <c r="AY50">
        <v>2157813.4169000001</v>
      </c>
      <c r="AZ50">
        <v>1811718.7503</v>
      </c>
    </row>
    <row r="51" spans="1:52" x14ac:dyDescent="0.35">
      <c r="A51" t="s">
        <v>125</v>
      </c>
      <c r="B51" t="s">
        <v>309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54.485317072999997</v>
      </c>
      <c r="K51">
        <v>62.351901638999998</v>
      </c>
      <c r="L51">
        <v>48.292590908999998</v>
      </c>
      <c r="M51">
        <v>116.68670453999999</v>
      </c>
      <c r="N51">
        <v>152.00337879</v>
      </c>
      <c r="O51">
        <v>78.295818182000005</v>
      </c>
      <c r="P51">
        <v>109.52288095</v>
      </c>
      <c r="Q51">
        <v>105.51216128999999</v>
      </c>
      <c r="R51">
        <v>53.36047619</v>
      </c>
      <c r="S51">
        <v>267.25850000000003</v>
      </c>
      <c r="AJ51">
        <v>1314951.6551999999</v>
      </c>
      <c r="AK51">
        <v>1196466.142</v>
      </c>
      <c r="AL51">
        <v>1175578.6416</v>
      </c>
      <c r="AM51">
        <v>1234633.2446999999</v>
      </c>
      <c r="AN51">
        <v>1250422.4077000001</v>
      </c>
      <c r="AO51">
        <v>1356104.7312</v>
      </c>
      <c r="AP51">
        <v>1526887.0992999999</v>
      </c>
      <c r="AQ51">
        <v>1429547.7012</v>
      </c>
      <c r="AR51">
        <v>1445333.6561</v>
      </c>
      <c r="AS51">
        <v>1442551.5315</v>
      </c>
      <c r="AT51">
        <v>1852843.8770999999</v>
      </c>
      <c r="AU51">
        <v>1705295.8525</v>
      </c>
      <c r="AV51">
        <v>1710112.3391</v>
      </c>
      <c r="AW51">
        <v>2008565.6338</v>
      </c>
      <c r="AX51">
        <v>1994420.669</v>
      </c>
      <c r="AY51">
        <v>2157813.4169000001</v>
      </c>
      <c r="AZ51">
        <v>1811718.7503</v>
      </c>
    </row>
    <row r="52" spans="1:52" x14ac:dyDescent="0.35">
      <c r="A52" t="s">
        <v>126</v>
      </c>
      <c r="B52" t="s">
        <v>310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185.70395121999999</v>
      </c>
      <c r="K52">
        <v>162.92673769999999</v>
      </c>
      <c r="L52">
        <v>99.531136364000005</v>
      </c>
      <c r="M52">
        <v>198.49872726999999</v>
      </c>
      <c r="N52">
        <v>422.57863636000002</v>
      </c>
      <c r="O52">
        <v>254.33672727000001</v>
      </c>
      <c r="P52">
        <v>307.78261904999999</v>
      </c>
      <c r="Q52">
        <v>289.22909677000001</v>
      </c>
      <c r="R52">
        <v>170.37676189999999</v>
      </c>
      <c r="S52">
        <v>93.253852941000005</v>
      </c>
      <c r="AJ52">
        <v>1314951.6551999999</v>
      </c>
      <c r="AK52">
        <v>1196466.142</v>
      </c>
      <c r="AL52">
        <v>1175578.6416</v>
      </c>
      <c r="AM52">
        <v>1234633.2446999999</v>
      </c>
      <c r="AN52">
        <v>1250422.4077000001</v>
      </c>
      <c r="AO52">
        <v>1356104.7312</v>
      </c>
      <c r="AP52">
        <v>1526887.0992999999</v>
      </c>
      <c r="AQ52">
        <v>1429547.7012</v>
      </c>
      <c r="AR52">
        <v>1445333.6561</v>
      </c>
      <c r="AS52">
        <v>1442551.5315</v>
      </c>
      <c r="AT52">
        <v>1852843.8770999999</v>
      </c>
      <c r="AU52">
        <v>1705295.8525</v>
      </c>
      <c r="AV52">
        <v>1710112.3391</v>
      </c>
      <c r="AW52">
        <v>2008565.6338</v>
      </c>
      <c r="AX52">
        <v>1994420.669</v>
      </c>
      <c r="AY52">
        <v>2157813.4169000001</v>
      </c>
      <c r="AZ52">
        <v>1811718.7503</v>
      </c>
    </row>
    <row r="53" spans="1:52" x14ac:dyDescent="0.35">
      <c r="A53" t="s">
        <v>173</v>
      </c>
      <c r="B53" t="s">
        <v>355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205.17478048999999</v>
      </c>
      <c r="K53">
        <v>295.32478688999998</v>
      </c>
      <c r="L53">
        <v>155.78281817999999</v>
      </c>
      <c r="M53">
        <v>259.52297727000001</v>
      </c>
      <c r="N53">
        <v>237.25695454999999</v>
      </c>
      <c r="O53">
        <v>766.00159091</v>
      </c>
      <c r="P53">
        <v>510.12892857000003</v>
      </c>
      <c r="Q53">
        <v>698.11730645</v>
      </c>
      <c r="R53">
        <v>325.65633333</v>
      </c>
      <c r="S53">
        <v>86.207441176000003</v>
      </c>
      <c r="AJ53">
        <v>522482.3677</v>
      </c>
      <c r="AK53">
        <v>520759.1888</v>
      </c>
      <c r="AL53">
        <v>534762.95629999996</v>
      </c>
      <c r="AM53">
        <v>542958.31162000005</v>
      </c>
      <c r="AN53">
        <v>530817.09065999999</v>
      </c>
      <c r="AO53">
        <v>555670.88370000001</v>
      </c>
      <c r="AP53">
        <v>564857.69484000001</v>
      </c>
      <c r="AQ53">
        <v>571363.05911999999</v>
      </c>
      <c r="AR53">
        <v>588632.41608</v>
      </c>
      <c r="AS53">
        <v>559649.46083999996</v>
      </c>
      <c r="AT53">
        <v>570799.48679999996</v>
      </c>
      <c r="AU53">
        <v>610644.04079999996</v>
      </c>
      <c r="AV53">
        <v>628769.15411999996</v>
      </c>
      <c r="AW53">
        <v>626408.60820000002</v>
      </c>
      <c r="AX53">
        <v>640597.79006000003</v>
      </c>
      <c r="AY53">
        <v>632172.12379999994</v>
      </c>
      <c r="AZ53">
        <v>599105.11430000002</v>
      </c>
    </row>
    <row r="54" spans="1:52" x14ac:dyDescent="0.35">
      <c r="A54" t="s">
        <v>462</v>
      </c>
      <c r="B54" t="s">
        <v>475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1408.5825609999999</v>
      </c>
      <c r="K54">
        <v>946.75221310999996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AJ54">
        <v>1798452.3942</v>
      </c>
      <c r="AK54">
        <v>1834158.3455999999</v>
      </c>
      <c r="AL54">
        <v>1849192.4304</v>
      </c>
      <c r="AM54">
        <v>1909328.7696</v>
      </c>
      <c r="AN54">
        <v>1950672.5027999999</v>
      </c>
      <c r="AO54">
        <v>1967585.8481999999</v>
      </c>
      <c r="AP54">
        <v>1975102.8906</v>
      </c>
    </row>
    <row r="55" spans="1:52" x14ac:dyDescent="0.35">
      <c r="A55" t="s">
        <v>127</v>
      </c>
      <c r="B55" t="s">
        <v>311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6.4056585365999998</v>
      </c>
      <c r="K55">
        <v>5.9470983607000001</v>
      </c>
      <c r="L55">
        <v>6.5626818181999997</v>
      </c>
      <c r="M55">
        <v>19.995681818000001</v>
      </c>
      <c r="N55">
        <v>16.849848484999999</v>
      </c>
      <c r="O55">
        <v>14.41340909</v>
      </c>
      <c r="P55">
        <v>11.145714285</v>
      </c>
      <c r="Q55">
        <v>14.198290322</v>
      </c>
      <c r="R55">
        <v>18.417285713999998</v>
      </c>
      <c r="S55">
        <v>16.594294118000001</v>
      </c>
      <c r="AJ55">
        <v>2982323.24</v>
      </c>
      <c r="AK55">
        <v>3074872.6</v>
      </c>
      <c r="AL55">
        <v>3048516.6549999998</v>
      </c>
      <c r="AM55">
        <v>3028498.76</v>
      </c>
      <c r="AN55">
        <v>3015078.96</v>
      </c>
      <c r="AO55">
        <v>3000576.8857</v>
      </c>
      <c r="AP55">
        <v>3105553.24</v>
      </c>
      <c r="AQ55">
        <v>3659341.52</v>
      </c>
      <c r="AR55">
        <v>3752092.0321</v>
      </c>
      <c r="AS55">
        <v>3937447.12</v>
      </c>
      <c r="AT55">
        <v>3817312.56</v>
      </c>
      <c r="AU55">
        <v>3865912.12</v>
      </c>
      <c r="AV55">
        <v>3852033.83</v>
      </c>
      <c r="AW55">
        <v>4680442.75</v>
      </c>
      <c r="AX55">
        <v>4689893.33</v>
      </c>
      <c r="AY55">
        <v>5104696.5599999996</v>
      </c>
      <c r="AZ55">
        <v>5496601.2999999998</v>
      </c>
    </row>
    <row r="56" spans="1:52" x14ac:dyDescent="0.35">
      <c r="A56" t="s">
        <v>128</v>
      </c>
      <c r="B56" t="s">
        <v>312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377.00643902000002</v>
      </c>
      <c r="K56">
        <v>394.32570492000002</v>
      </c>
      <c r="L56">
        <v>293.06963636</v>
      </c>
      <c r="M56">
        <v>420.10197727000002</v>
      </c>
      <c r="N56">
        <v>493.09025758000001</v>
      </c>
      <c r="O56">
        <v>559.77386363999995</v>
      </c>
      <c r="P56">
        <v>658.60795238000003</v>
      </c>
      <c r="Q56">
        <v>591.71948386999998</v>
      </c>
      <c r="R56">
        <v>404.16142857</v>
      </c>
      <c r="S56">
        <v>522.37108823999995</v>
      </c>
      <c r="AJ56">
        <v>2982323.24</v>
      </c>
      <c r="AK56">
        <v>3074872.6</v>
      </c>
      <c r="AL56">
        <v>3048516.6549999998</v>
      </c>
      <c r="AM56">
        <v>3028498.76</v>
      </c>
      <c r="AN56">
        <v>3015078.96</v>
      </c>
      <c r="AO56">
        <v>3000576.8857</v>
      </c>
      <c r="AP56">
        <v>3105553.24</v>
      </c>
      <c r="AQ56">
        <v>3659341.52</v>
      </c>
      <c r="AR56">
        <v>3752092.0321</v>
      </c>
      <c r="AS56">
        <v>3937447.12</v>
      </c>
      <c r="AT56">
        <v>3817312.56</v>
      </c>
      <c r="AU56">
        <v>3865912.12</v>
      </c>
      <c r="AV56">
        <v>3852033.83</v>
      </c>
      <c r="AW56">
        <v>4680442.75</v>
      </c>
      <c r="AX56">
        <v>4689893.33</v>
      </c>
      <c r="AY56">
        <v>5104696.5599999996</v>
      </c>
      <c r="AZ56">
        <v>5496601.2999999998</v>
      </c>
    </row>
    <row r="57" spans="1:52" x14ac:dyDescent="0.35">
      <c r="A57" t="s">
        <v>129</v>
      </c>
      <c r="B57" t="s">
        <v>313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156437.87520000001</v>
      </c>
      <c r="K57">
        <v>143954.10995000001</v>
      </c>
      <c r="L57">
        <v>101984.35077</v>
      </c>
      <c r="M57">
        <v>114670.34656000001</v>
      </c>
      <c r="N57">
        <v>108441.29822</v>
      </c>
      <c r="O57">
        <v>98188.876455000005</v>
      </c>
      <c r="P57">
        <v>109164.32402</v>
      </c>
      <c r="Q57">
        <v>117309.56995</v>
      </c>
      <c r="R57">
        <v>160226.32633000001</v>
      </c>
      <c r="S57">
        <v>131719.88008999999</v>
      </c>
      <c r="AJ57">
        <v>35529684.619999997</v>
      </c>
      <c r="AK57">
        <v>37007582</v>
      </c>
      <c r="AL57">
        <v>35145544.060000002</v>
      </c>
      <c r="AM57">
        <v>35270865.880000003</v>
      </c>
      <c r="AN57">
        <v>35957604.280000001</v>
      </c>
      <c r="AO57">
        <v>33679021.380000003</v>
      </c>
      <c r="AP57">
        <v>35423571.479999997</v>
      </c>
      <c r="AQ57">
        <v>37211000.859999999</v>
      </c>
      <c r="AR57">
        <v>35180942.560000002</v>
      </c>
      <c r="AS57">
        <v>34246209.799999997</v>
      </c>
      <c r="AT57">
        <v>35445962.68</v>
      </c>
      <c r="AU57">
        <v>35082088.960000001</v>
      </c>
      <c r="AV57">
        <v>35501260.280000001</v>
      </c>
      <c r="AW57">
        <v>35499800.439999998</v>
      </c>
      <c r="AX57">
        <v>35387745.399999999</v>
      </c>
      <c r="AY57">
        <v>36293962.579999998</v>
      </c>
      <c r="AZ57">
        <v>33741856.700000003</v>
      </c>
    </row>
    <row r="58" spans="1:52" x14ac:dyDescent="0.35">
      <c r="A58" t="s">
        <v>140</v>
      </c>
      <c r="B58" t="s">
        <v>324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44685.813024000003</v>
      </c>
      <c r="K58">
        <v>40447.412392999999</v>
      </c>
      <c r="L58">
        <v>24523.387273</v>
      </c>
      <c r="M58">
        <v>24633.487476999999</v>
      </c>
      <c r="N58">
        <v>23810.645712000001</v>
      </c>
      <c r="O58">
        <v>26775.464544999999</v>
      </c>
      <c r="P58">
        <v>33677.732190000002</v>
      </c>
      <c r="Q58">
        <v>36875.948967999997</v>
      </c>
      <c r="R58">
        <v>43064.812333000002</v>
      </c>
      <c r="S58">
        <v>50006.577853000003</v>
      </c>
      <c r="AJ58">
        <v>33732996.581</v>
      </c>
      <c r="AK58">
        <v>28681195.160999998</v>
      </c>
      <c r="AL58">
        <v>27975029.370999999</v>
      </c>
      <c r="AM58">
        <v>30202167.631000001</v>
      </c>
      <c r="AN58">
        <v>27703427.144000001</v>
      </c>
      <c r="AO58">
        <v>33624355.689999998</v>
      </c>
      <c r="AP58">
        <v>33352753.463</v>
      </c>
      <c r="AQ58">
        <v>27431824.916999999</v>
      </c>
      <c r="AR58">
        <v>26942940.908</v>
      </c>
      <c r="AS58">
        <v>27703427.144000001</v>
      </c>
      <c r="AT58">
        <v>28246631.598000001</v>
      </c>
      <c r="AU58">
        <v>30039206.295000002</v>
      </c>
      <c r="AV58">
        <v>32972510.346000001</v>
      </c>
      <c r="AW58">
        <v>29333040.504999999</v>
      </c>
      <c r="AX58">
        <v>29604642.732000001</v>
      </c>
      <c r="AY58">
        <v>31994742.329</v>
      </c>
      <c r="AZ58">
        <v>31226076.831999999</v>
      </c>
    </row>
    <row r="59" spans="1:52" x14ac:dyDescent="0.35">
      <c r="A59" t="s">
        <v>130</v>
      </c>
      <c r="B59" t="s">
        <v>314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1.3012195122000001</v>
      </c>
      <c r="K59">
        <v>2.6707540984000002</v>
      </c>
      <c r="L59">
        <v>3.5950909091000001</v>
      </c>
      <c r="M59">
        <v>2.0475454544999998</v>
      </c>
      <c r="N59">
        <v>3.0991666667</v>
      </c>
      <c r="O59">
        <v>1.5723636364</v>
      </c>
      <c r="P59">
        <v>1.1295714286</v>
      </c>
      <c r="Q59">
        <v>0.76519354838999998</v>
      </c>
      <c r="R59">
        <v>1.2284761904999999</v>
      </c>
      <c r="S59">
        <v>8.5499411765000009</v>
      </c>
      <c r="AJ59">
        <v>2174377.7842999999</v>
      </c>
      <c r="AK59">
        <v>2210756.1285000001</v>
      </c>
      <c r="AL59">
        <v>1999994.4898999999</v>
      </c>
      <c r="AM59">
        <v>1927020.2514</v>
      </c>
      <c r="AN59">
        <v>2085615.7677</v>
      </c>
      <c r="AO59">
        <v>1948210.5325</v>
      </c>
      <c r="AP59">
        <v>1881713.5453000001</v>
      </c>
      <c r="AQ59">
        <v>2029734.1096999999</v>
      </c>
      <c r="AR59">
        <v>2144663.8091000002</v>
      </c>
      <c r="AS59">
        <v>2625129.6288000001</v>
      </c>
      <c r="AT59">
        <v>2923394.7439999999</v>
      </c>
      <c r="AU59">
        <v>2858702.6896000002</v>
      </c>
      <c r="AV59">
        <v>2663622.6228999998</v>
      </c>
      <c r="AW59">
        <v>2745595.6264999998</v>
      </c>
      <c r="AX59">
        <v>2933405.6258</v>
      </c>
      <c r="AY59">
        <v>3609516.9929999998</v>
      </c>
      <c r="AZ59">
        <v>2547755.9388000001</v>
      </c>
    </row>
    <row r="60" spans="1:52" x14ac:dyDescent="0.35">
      <c r="A60" t="s">
        <v>131</v>
      </c>
      <c r="B60" t="s">
        <v>315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229.48946341000001</v>
      </c>
      <c r="K60">
        <v>185.46336066000001</v>
      </c>
      <c r="L60">
        <v>283.81113635999998</v>
      </c>
      <c r="M60">
        <v>304.02522727000002</v>
      </c>
      <c r="N60">
        <v>259.06727273000001</v>
      </c>
      <c r="O60">
        <v>279.40990908999999</v>
      </c>
      <c r="P60">
        <v>776.07859524000003</v>
      </c>
      <c r="Q60">
        <v>657.93022581000002</v>
      </c>
      <c r="R60">
        <v>400.37314285999997</v>
      </c>
      <c r="S60">
        <v>396.30676470999998</v>
      </c>
      <c r="AJ60">
        <v>2174377.7842999999</v>
      </c>
      <c r="AK60">
        <v>2210756.1285000001</v>
      </c>
      <c r="AL60">
        <v>1999994.4898999999</v>
      </c>
      <c r="AM60">
        <v>1927020.2514</v>
      </c>
      <c r="AN60">
        <v>2085615.7677</v>
      </c>
      <c r="AO60">
        <v>1948210.5325</v>
      </c>
      <c r="AP60">
        <v>1881713.5453000001</v>
      </c>
      <c r="AQ60">
        <v>2029734.1096999999</v>
      </c>
      <c r="AR60">
        <v>2144663.8091000002</v>
      </c>
      <c r="AS60">
        <v>2625129.6288000001</v>
      </c>
      <c r="AT60">
        <v>2923394.7439999999</v>
      </c>
      <c r="AU60">
        <v>2858702.6896000002</v>
      </c>
      <c r="AV60">
        <v>2663622.6228999998</v>
      </c>
      <c r="AW60">
        <v>2745595.6264999998</v>
      </c>
      <c r="AX60">
        <v>2933405.6258</v>
      </c>
      <c r="AY60">
        <v>3609516.9929999998</v>
      </c>
      <c r="AZ60">
        <v>2547755.9388000001</v>
      </c>
    </row>
    <row r="61" spans="1:52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154150.17212</v>
      </c>
      <c r="K61">
        <v>135796.77836</v>
      </c>
      <c r="L61">
        <v>75827.437999999995</v>
      </c>
      <c r="M61">
        <v>83810.162068000005</v>
      </c>
      <c r="N61">
        <v>84937.360484999997</v>
      </c>
      <c r="O61">
        <v>83018.602364000006</v>
      </c>
      <c r="P61">
        <v>94430.741928999996</v>
      </c>
      <c r="Q61">
        <v>92302.666580999998</v>
      </c>
      <c r="R61">
        <v>146372.22962</v>
      </c>
      <c r="S61">
        <v>55258.739911999997</v>
      </c>
      <c r="AJ61">
        <v>2641260.8184000002</v>
      </c>
      <c r="AK61">
        <v>2416472.6636999999</v>
      </c>
      <c r="AL61">
        <v>2010332.0617</v>
      </c>
      <c r="AM61">
        <v>2563634.4640000002</v>
      </c>
      <c r="AN61">
        <v>2803398.8382999999</v>
      </c>
      <c r="AO61">
        <v>3779311.7500999998</v>
      </c>
      <c r="AP61">
        <v>4665370.4857000001</v>
      </c>
      <c r="AQ61">
        <v>5370600.9079999998</v>
      </c>
      <c r="AR61">
        <v>5097265.2483999999</v>
      </c>
      <c r="AS61">
        <v>5024706.3125</v>
      </c>
      <c r="AT61">
        <v>5296802.3222000003</v>
      </c>
      <c r="AU61">
        <v>6059331.3671000004</v>
      </c>
      <c r="AV61">
        <v>6784999.7943000002</v>
      </c>
      <c r="AW61">
        <v>7075267.1651999997</v>
      </c>
      <c r="AX61">
        <v>6306058.6330000004</v>
      </c>
      <c r="AY61">
        <v>9079926.1962000001</v>
      </c>
      <c r="AZ61">
        <v>4262618.1789999995</v>
      </c>
    </row>
    <row r="62" spans="1:52" x14ac:dyDescent="0.35">
      <c r="A62" t="s">
        <v>137</v>
      </c>
      <c r="B62" t="s">
        <v>321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60958.317755999997</v>
      </c>
      <c r="K62">
        <v>55688.131754000002</v>
      </c>
      <c r="L62">
        <v>42804.391863999997</v>
      </c>
      <c r="M62">
        <v>51061.789727000003</v>
      </c>
      <c r="N62">
        <v>51335.264227</v>
      </c>
      <c r="O62">
        <v>49553.045091</v>
      </c>
      <c r="P62">
        <v>81769.372856999995</v>
      </c>
      <c r="Q62">
        <v>92881.188112999997</v>
      </c>
      <c r="R62">
        <v>106498.02323000001</v>
      </c>
      <c r="S62">
        <v>59659.466882000001</v>
      </c>
      <c r="AJ62">
        <v>37759377.998999998</v>
      </c>
      <c r="AK62">
        <v>37586539.832999997</v>
      </c>
      <c r="AL62">
        <v>36399717.759999998</v>
      </c>
      <c r="AM62">
        <v>39660597.825000003</v>
      </c>
      <c r="AN62">
        <v>40421085.755000003</v>
      </c>
      <c r="AO62">
        <v>43439992.387999997</v>
      </c>
      <c r="AP62">
        <v>44004597.064000003</v>
      </c>
      <c r="AQ62">
        <v>46654782.276000001</v>
      </c>
      <c r="AR62">
        <v>47081116.417999998</v>
      </c>
      <c r="AS62">
        <v>44016119.608000003</v>
      </c>
      <c r="AT62">
        <v>45364257.303000003</v>
      </c>
      <c r="AU62">
        <v>45398824.935999997</v>
      </c>
      <c r="AV62">
        <v>47933784.704000004</v>
      </c>
      <c r="AW62">
        <v>56195449.038999997</v>
      </c>
      <c r="AX62">
        <v>61403639.108000003</v>
      </c>
      <c r="AY62">
        <v>59295013.482000001</v>
      </c>
      <c r="AZ62">
        <v>47230909.495999999</v>
      </c>
    </row>
    <row r="63" spans="1:52" x14ac:dyDescent="0.35">
      <c r="A63" t="s">
        <v>134</v>
      </c>
      <c r="B63" t="s">
        <v>318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73343.165122000006</v>
      </c>
      <c r="K63">
        <v>70394.739639000007</v>
      </c>
      <c r="L63">
        <v>52802.824909000003</v>
      </c>
      <c r="M63">
        <v>52517.543772999998</v>
      </c>
      <c r="N63">
        <v>53013.307773</v>
      </c>
      <c r="O63">
        <v>57232.773045000002</v>
      </c>
      <c r="P63">
        <v>82332.969951999999</v>
      </c>
      <c r="Q63">
        <v>113760.71793</v>
      </c>
      <c r="R63">
        <v>276705.59214000002</v>
      </c>
      <c r="S63">
        <v>227597.08171</v>
      </c>
      <c r="AJ63">
        <v>27834712.188000001</v>
      </c>
      <c r="AK63">
        <v>27694662.405000001</v>
      </c>
      <c r="AL63">
        <v>26062177.212000001</v>
      </c>
      <c r="AM63">
        <v>27978635.519000001</v>
      </c>
      <c r="AN63">
        <v>28144745.892999999</v>
      </c>
      <c r="AO63">
        <v>29565973.978</v>
      </c>
      <c r="AP63">
        <v>32822228.579999998</v>
      </c>
      <c r="AQ63">
        <v>36314489.758000001</v>
      </c>
      <c r="AR63">
        <v>35966817.399999999</v>
      </c>
      <c r="AS63">
        <v>34309950.520999998</v>
      </c>
      <c r="AT63">
        <v>34632382.100000001</v>
      </c>
      <c r="AU63">
        <v>37213936.493000001</v>
      </c>
      <c r="AV63">
        <v>40283465.821999997</v>
      </c>
      <c r="AW63">
        <v>41774738.696999997</v>
      </c>
      <c r="AX63">
        <v>36398158.597999997</v>
      </c>
      <c r="AY63">
        <v>39145526.884000003</v>
      </c>
      <c r="AZ63">
        <v>40957951.862999998</v>
      </c>
    </row>
    <row r="64" spans="1:52" x14ac:dyDescent="0.35">
      <c r="A64" t="s">
        <v>135</v>
      </c>
      <c r="B64" t="s">
        <v>319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201392.18497999999</v>
      </c>
      <c r="K64">
        <v>183687.72065999999</v>
      </c>
      <c r="L64">
        <v>119791.94404</v>
      </c>
      <c r="M64">
        <v>145883.47166000001</v>
      </c>
      <c r="N64">
        <v>137777.39705999999</v>
      </c>
      <c r="O64">
        <v>144528.77458999999</v>
      </c>
      <c r="P64">
        <v>98846.540548000004</v>
      </c>
      <c r="Q64">
        <v>66960.559726000007</v>
      </c>
      <c r="R64">
        <v>0</v>
      </c>
      <c r="S64">
        <v>0</v>
      </c>
      <c r="AJ64">
        <v>27834712.188000001</v>
      </c>
      <c r="AK64">
        <v>27694662.405000001</v>
      </c>
      <c r="AL64">
        <v>26062177.212000001</v>
      </c>
      <c r="AM64">
        <v>27978635.519000001</v>
      </c>
      <c r="AN64">
        <v>28144745.892999999</v>
      </c>
      <c r="AO64">
        <v>29565973.978</v>
      </c>
      <c r="AP64">
        <v>32822228.579999998</v>
      </c>
      <c r="AQ64">
        <v>36314489.758000001</v>
      </c>
      <c r="AR64">
        <v>35966817.399999999</v>
      </c>
      <c r="AS64">
        <v>34309950.520999998</v>
      </c>
      <c r="AT64">
        <v>34632382.100000001</v>
      </c>
      <c r="AU64">
        <v>37213936.493000001</v>
      </c>
      <c r="AV64">
        <v>40283465.821999997</v>
      </c>
      <c r="AW64">
        <v>41774738.696999997</v>
      </c>
      <c r="AX64">
        <v>36398158.597999997</v>
      </c>
      <c r="AY64">
        <v>39145526.884000003</v>
      </c>
      <c r="AZ64">
        <v>40957951.862999998</v>
      </c>
    </row>
    <row r="65" spans="1:52" x14ac:dyDescent="0.35">
      <c r="A65" t="s">
        <v>463</v>
      </c>
      <c r="B65" t="s">
        <v>476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271922.70890000003</v>
      </c>
      <c r="K65">
        <v>182767.72237999999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AJ65">
        <v>15796834.765000001</v>
      </c>
      <c r="AK65">
        <v>13497962.949999999</v>
      </c>
      <c r="AL65">
        <v>11452177.939999999</v>
      </c>
      <c r="AM65">
        <v>13244876.145</v>
      </c>
      <c r="AN65">
        <v>15290661.153999999</v>
      </c>
      <c r="AO65">
        <v>15290661.153999999</v>
      </c>
      <c r="AP65">
        <v>18032434.879000001</v>
      </c>
      <c r="AQ65">
        <v>17884800.909000002</v>
      </c>
      <c r="AR65">
        <v>17884800.909000002</v>
      </c>
    </row>
    <row r="66" spans="1:52" x14ac:dyDescent="0.35">
      <c r="A66" t="s">
        <v>138</v>
      </c>
      <c r="B66" t="s">
        <v>322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28.882634146000001</v>
      </c>
      <c r="K66">
        <v>37.559245902000001</v>
      </c>
      <c r="L66">
        <v>37.376863636000003</v>
      </c>
      <c r="M66">
        <v>36.289681817999998</v>
      </c>
      <c r="N66">
        <v>67.033969697000003</v>
      </c>
      <c r="O66">
        <v>118.31827272</v>
      </c>
      <c r="P66">
        <v>138.84683333000001</v>
      </c>
      <c r="Q66">
        <v>112.7452258</v>
      </c>
      <c r="R66">
        <v>40.531619048000003</v>
      </c>
      <c r="S66">
        <v>68.011970587999997</v>
      </c>
      <c r="AJ66">
        <v>750346.34016999998</v>
      </c>
      <c r="AK66">
        <v>649550.32860000001</v>
      </c>
      <c r="AL66">
        <v>595250.96865000005</v>
      </c>
      <c r="AM66">
        <v>574369.39306000003</v>
      </c>
      <c r="AN66">
        <v>555210.76563000004</v>
      </c>
      <c r="AO66">
        <v>547937.31562000001</v>
      </c>
      <c r="AP66">
        <v>605378.73017999995</v>
      </c>
      <c r="AQ66">
        <v>629624.85536000005</v>
      </c>
      <c r="AR66">
        <v>520119.60768000002</v>
      </c>
      <c r="AS66">
        <v>482932.51063999999</v>
      </c>
      <c r="AT66">
        <v>457672.89676999999</v>
      </c>
      <c r="AU66">
        <v>395423.66931999999</v>
      </c>
      <c r="AV66">
        <v>570018.94191000005</v>
      </c>
      <c r="AW66">
        <v>522968.98082</v>
      </c>
      <c r="AX66">
        <v>518610.13245999999</v>
      </c>
      <c r="AY66">
        <v>535359.07877999998</v>
      </c>
      <c r="AZ66">
        <v>362925.78198999999</v>
      </c>
    </row>
    <row r="67" spans="1:52" x14ac:dyDescent="0.35">
      <c r="A67" t="s">
        <v>139</v>
      </c>
      <c r="B67" t="s">
        <v>323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3.2803170732</v>
      </c>
      <c r="K67">
        <v>3.4361639344000001</v>
      </c>
      <c r="L67">
        <v>0.78159090908999995</v>
      </c>
      <c r="M67">
        <v>1.0805681817999999</v>
      </c>
      <c r="N67">
        <v>1.1577727273</v>
      </c>
      <c r="O67">
        <v>15.248590909000001</v>
      </c>
      <c r="P67">
        <v>13.357880952</v>
      </c>
      <c r="Q67">
        <v>9.9431612903000008</v>
      </c>
      <c r="R67">
        <v>4.3865714285999999</v>
      </c>
      <c r="S67">
        <v>1.9417647059000001</v>
      </c>
      <c r="AJ67">
        <v>750346.34016999998</v>
      </c>
      <c r="AK67">
        <v>649550.32860000001</v>
      </c>
      <c r="AL67">
        <v>595250.96865000005</v>
      </c>
      <c r="AM67">
        <v>574369.39306000003</v>
      </c>
      <c r="AN67">
        <v>555210.76563000004</v>
      </c>
      <c r="AO67">
        <v>547937.31562000001</v>
      </c>
      <c r="AP67">
        <v>605378.73017999995</v>
      </c>
      <c r="AQ67">
        <v>629624.85536000005</v>
      </c>
      <c r="AR67">
        <v>520119.60768000002</v>
      </c>
      <c r="AS67">
        <v>482932.51063999999</v>
      </c>
      <c r="AT67">
        <v>457672.89676999999</v>
      </c>
      <c r="AU67">
        <v>395423.66931999999</v>
      </c>
      <c r="AV67">
        <v>570018.94191000005</v>
      </c>
      <c r="AW67">
        <v>522968.98082</v>
      </c>
      <c r="AX67">
        <v>518610.13245999999</v>
      </c>
      <c r="AY67">
        <v>535359.07877999998</v>
      </c>
      <c r="AZ67">
        <v>362925.78198999999</v>
      </c>
    </row>
    <row r="68" spans="1:52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143923.14378000001</v>
      </c>
      <c r="K68">
        <v>142633.55979</v>
      </c>
      <c r="L68">
        <v>106903.34831</v>
      </c>
      <c r="M68">
        <v>106474.73679</v>
      </c>
      <c r="N68">
        <v>173386.41636</v>
      </c>
      <c r="O68">
        <v>113332.45968</v>
      </c>
      <c r="P68">
        <v>196529.24124</v>
      </c>
      <c r="Q68">
        <v>201135.90072999999</v>
      </c>
      <c r="R68">
        <v>242406.5871</v>
      </c>
      <c r="S68">
        <v>82062.144853000005</v>
      </c>
      <c r="AJ68">
        <v>22046113.022999998</v>
      </c>
      <c r="AK68">
        <v>19005913.002999999</v>
      </c>
      <c r="AL68">
        <v>15200635.41</v>
      </c>
      <c r="AM68">
        <v>14958468.425000001</v>
      </c>
      <c r="AN68">
        <v>13207414.835999999</v>
      </c>
      <c r="AO68">
        <v>13735386.49</v>
      </c>
      <c r="AP68">
        <v>14441671.586999999</v>
      </c>
      <c r="AQ68">
        <v>15296648.284</v>
      </c>
      <c r="AR68">
        <v>12750519.857000001</v>
      </c>
      <c r="AS68">
        <v>11096297.892999999</v>
      </c>
      <c r="AT68">
        <v>10873256.729</v>
      </c>
      <c r="AU68">
        <v>11471398.968</v>
      </c>
      <c r="AV68">
        <v>11434214.530999999</v>
      </c>
      <c r="AW68">
        <v>24388806.75</v>
      </c>
      <c r="AX68">
        <v>21064160.136</v>
      </c>
      <c r="AY68">
        <v>23360628.721999999</v>
      </c>
      <c r="AZ68">
        <v>12700860.017000001</v>
      </c>
    </row>
    <row r="69" spans="1:52" x14ac:dyDescent="0.35">
      <c r="A69" t="s">
        <v>133</v>
      </c>
      <c r="B69" t="s">
        <v>317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45946.395293000001</v>
      </c>
      <c r="K69">
        <v>51481.045147999997</v>
      </c>
      <c r="L69">
        <v>71891.464773</v>
      </c>
      <c r="M69">
        <v>81518.600273000004</v>
      </c>
      <c r="N69">
        <v>86284.659</v>
      </c>
      <c r="O69">
        <v>73033.752863999995</v>
      </c>
      <c r="P69">
        <v>70188.640238000007</v>
      </c>
      <c r="Q69">
        <v>90214.190887000004</v>
      </c>
      <c r="R69">
        <v>144462.13167</v>
      </c>
      <c r="S69">
        <v>247775.51178999999</v>
      </c>
      <c r="AJ69">
        <v>8740122.0500000007</v>
      </c>
      <c r="AK69">
        <v>9623613.7799999993</v>
      </c>
      <c r="AL69">
        <v>7894548.4199999999</v>
      </c>
      <c r="AM69">
        <v>8512613.4499999993</v>
      </c>
      <c r="AN69">
        <v>8823541.8699999992</v>
      </c>
      <c r="AO69">
        <v>7488824.75</v>
      </c>
      <c r="AP69">
        <v>8129640.6399999997</v>
      </c>
      <c r="AQ69">
        <v>9054842.2799999993</v>
      </c>
      <c r="AR69">
        <v>10605692.57</v>
      </c>
      <c r="AS69">
        <v>9843538.7599999998</v>
      </c>
      <c r="AT69">
        <v>11333720.09</v>
      </c>
      <c r="AU69">
        <v>13077952.689999999</v>
      </c>
      <c r="AV69">
        <v>14329249.99</v>
      </c>
      <c r="AW69">
        <v>15785305.029999999</v>
      </c>
      <c r="AX69">
        <v>16653629.52</v>
      </c>
      <c r="AY69">
        <v>19395108.149999999</v>
      </c>
      <c r="AZ69">
        <v>20771535.18</v>
      </c>
    </row>
    <row r="70" spans="1:52" x14ac:dyDescent="0.35">
      <c r="A70" t="s">
        <v>246</v>
      </c>
      <c r="B70" t="s">
        <v>427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97054.841658999998</v>
      </c>
      <c r="K70">
        <v>88960.834409999996</v>
      </c>
      <c r="L70">
        <v>69546.804955</v>
      </c>
      <c r="M70">
        <v>67272.538635999997</v>
      </c>
      <c r="N70">
        <v>62028.260757999997</v>
      </c>
      <c r="O70">
        <v>73054.132635999995</v>
      </c>
      <c r="P70">
        <v>73577.665286000003</v>
      </c>
      <c r="Q70">
        <v>75809.109064999997</v>
      </c>
      <c r="R70">
        <v>129653.09981</v>
      </c>
      <c r="S70">
        <v>65012.985029000003</v>
      </c>
      <c r="AJ70">
        <v>15608125.755999999</v>
      </c>
      <c r="AK70">
        <v>14799208.448000001</v>
      </c>
      <c r="AL70">
        <v>11749192.369999999</v>
      </c>
      <c r="AM70">
        <v>12266369.009</v>
      </c>
      <c r="AN70">
        <v>11298320.427999999</v>
      </c>
      <c r="AO70">
        <v>12558109.677999999</v>
      </c>
      <c r="AP70">
        <v>12332673.707</v>
      </c>
      <c r="AQ70">
        <v>10940275.062000001</v>
      </c>
      <c r="AR70">
        <v>9866138.9657000005</v>
      </c>
      <c r="AS70">
        <v>10529185.938999999</v>
      </c>
      <c r="AT70">
        <v>10091574.936000001</v>
      </c>
      <c r="AU70">
        <v>10476142.181</v>
      </c>
      <c r="AV70">
        <v>12518326.858999999</v>
      </c>
      <c r="AW70">
        <v>11192232.912</v>
      </c>
      <c r="AX70">
        <v>11855279.886</v>
      </c>
      <c r="AY70">
        <v>13353766.046</v>
      </c>
      <c r="AZ70">
        <v>6060249.3377999999</v>
      </c>
    </row>
    <row r="71" spans="1:52" x14ac:dyDescent="0.35">
      <c r="A71" t="s">
        <v>141</v>
      </c>
      <c r="B71" t="s">
        <v>325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737.63014634000001</v>
      </c>
      <c r="K71">
        <v>645.93642623000005</v>
      </c>
      <c r="L71">
        <v>543.57950000000005</v>
      </c>
      <c r="M71">
        <v>622.12809090999997</v>
      </c>
      <c r="N71">
        <v>589.04157576</v>
      </c>
      <c r="O71">
        <v>498.38881817999999</v>
      </c>
      <c r="P71">
        <v>592.65845237999997</v>
      </c>
      <c r="Q71">
        <v>941.95985484000005</v>
      </c>
      <c r="R71">
        <v>2213.7226190000001</v>
      </c>
      <c r="S71">
        <v>991.33199999999999</v>
      </c>
      <c r="AJ71">
        <v>730673.7</v>
      </c>
      <c r="AK71">
        <v>659257.56999999995</v>
      </c>
      <c r="AL71">
        <v>635727.4</v>
      </c>
      <c r="AM71">
        <v>663798.48</v>
      </c>
      <c r="AN71">
        <v>691456.75</v>
      </c>
      <c r="AO71">
        <v>694759.23</v>
      </c>
      <c r="AP71">
        <v>708794.77</v>
      </c>
      <c r="AQ71">
        <v>747186.1</v>
      </c>
      <c r="AR71">
        <v>785498</v>
      </c>
      <c r="AS71">
        <v>743329.16</v>
      </c>
      <c r="AT71">
        <v>781363.8</v>
      </c>
      <c r="AU71">
        <v>768677.91</v>
      </c>
      <c r="AV71">
        <v>738079.65</v>
      </c>
      <c r="AW71">
        <v>802170.6</v>
      </c>
      <c r="AX71">
        <v>700865.55</v>
      </c>
      <c r="AY71">
        <v>796795.23</v>
      </c>
      <c r="AZ71">
        <v>537963.5</v>
      </c>
    </row>
    <row r="72" spans="1:52" x14ac:dyDescent="0.35">
      <c r="A72" t="s">
        <v>136</v>
      </c>
      <c r="B72" t="s">
        <v>320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52" x14ac:dyDescent="0.35">
      <c r="A73" t="s">
        <v>142</v>
      </c>
      <c r="B73" t="s">
        <v>326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66550.913610000003</v>
      </c>
      <c r="K73">
        <v>66046.669951000003</v>
      </c>
      <c r="L73">
        <v>51401.897273000002</v>
      </c>
      <c r="M73">
        <v>64732.033158999999</v>
      </c>
      <c r="N73">
        <v>64227.119272999997</v>
      </c>
      <c r="O73">
        <v>75140.975044999999</v>
      </c>
      <c r="P73">
        <v>73988.308952000007</v>
      </c>
      <c r="Q73">
        <v>86978.230806000007</v>
      </c>
      <c r="R73">
        <v>108805.09119000001</v>
      </c>
      <c r="S73">
        <v>114158.90617</v>
      </c>
      <c r="AJ73">
        <v>7084771.9987000003</v>
      </c>
      <c r="AK73">
        <v>5960020.9612999996</v>
      </c>
      <c r="AL73">
        <v>5061379.6684999997</v>
      </c>
      <c r="AM73">
        <v>6203523.7631999999</v>
      </c>
      <c r="AN73">
        <v>6148445.7484999998</v>
      </c>
      <c r="AO73">
        <v>7116659.2703999998</v>
      </c>
      <c r="AP73">
        <v>7986312.1343999999</v>
      </c>
      <c r="AQ73">
        <v>8308083.6941</v>
      </c>
      <c r="AR73">
        <v>8616152.5977999996</v>
      </c>
      <c r="AS73">
        <v>8595721.3416000009</v>
      </c>
      <c r="AT73">
        <v>9970453.0061000008</v>
      </c>
      <c r="AU73">
        <v>10090121.791999999</v>
      </c>
      <c r="AV73">
        <v>10198115.573999999</v>
      </c>
      <c r="AW73">
        <v>11199247.126</v>
      </c>
      <c r="AX73">
        <v>9928373.9546000008</v>
      </c>
      <c r="AY73">
        <v>10643044.372</v>
      </c>
      <c r="AZ73">
        <v>9956098.2380999997</v>
      </c>
    </row>
    <row r="74" spans="1:52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37800.993512000001</v>
      </c>
      <c r="K74">
        <v>35608.637458999998</v>
      </c>
      <c r="L74">
        <v>21734.579044999999</v>
      </c>
      <c r="M74">
        <v>22525.268113999999</v>
      </c>
      <c r="N74">
        <v>23018.160379000001</v>
      </c>
      <c r="O74">
        <v>14315.020681</v>
      </c>
      <c r="P74">
        <v>21146.258666999998</v>
      </c>
      <c r="Q74">
        <v>21530.732564999998</v>
      </c>
      <c r="R74">
        <v>74511.383856999993</v>
      </c>
      <c r="S74">
        <v>19285.321971000001</v>
      </c>
      <c r="AJ74">
        <v>1077444.6805</v>
      </c>
      <c r="AK74">
        <v>1261398.6503999999</v>
      </c>
      <c r="AL74">
        <v>725304.22398000001</v>
      </c>
      <c r="AM74">
        <v>1024886.4034</v>
      </c>
      <c r="AN74">
        <v>909258.19383</v>
      </c>
      <c r="AO74">
        <v>1112525.9065</v>
      </c>
      <c r="AP74">
        <v>1138764.7250999999</v>
      </c>
      <c r="AQ74">
        <v>1243719.9993</v>
      </c>
      <c r="AR74">
        <v>1257383.9304</v>
      </c>
      <c r="AS74">
        <v>1252144.8307</v>
      </c>
      <c r="AT74">
        <v>1115928.2382</v>
      </c>
      <c r="AU74">
        <v>1016408.7609</v>
      </c>
      <c r="AV74">
        <v>979922.29255999997</v>
      </c>
      <c r="AW74">
        <v>979922.29255999997</v>
      </c>
      <c r="AX74">
        <v>1124924.9501</v>
      </c>
      <c r="AY74">
        <v>1364492.3006</v>
      </c>
      <c r="AZ74">
        <v>718702.05143999995</v>
      </c>
    </row>
    <row r="75" spans="1:52" x14ac:dyDescent="0.35">
      <c r="A75" t="s">
        <v>118</v>
      </c>
      <c r="B75" t="s">
        <v>302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73482.458511999997</v>
      </c>
      <c r="K75">
        <v>73934.044525000005</v>
      </c>
      <c r="L75">
        <v>56848.253227000001</v>
      </c>
      <c r="M75">
        <v>57347.937273000003</v>
      </c>
      <c r="N75">
        <v>62146.166620999997</v>
      </c>
      <c r="O75">
        <v>52115.538364</v>
      </c>
      <c r="P75">
        <v>54741.831856999997</v>
      </c>
      <c r="Q75">
        <v>55324.288581000001</v>
      </c>
      <c r="R75">
        <v>67266.964143000005</v>
      </c>
      <c r="S75">
        <v>148274.74109</v>
      </c>
      <c r="AJ75">
        <v>43200000</v>
      </c>
      <c r="AK75">
        <v>43590000</v>
      </c>
      <c r="AL75">
        <v>42750000</v>
      </c>
      <c r="AM75">
        <v>43950000</v>
      </c>
      <c r="AN75">
        <v>45600000</v>
      </c>
      <c r="AO75">
        <v>44730000</v>
      </c>
      <c r="AP75">
        <v>49080000</v>
      </c>
      <c r="AQ75">
        <v>45210000</v>
      </c>
      <c r="AR75">
        <v>44070000</v>
      </c>
      <c r="AS75">
        <v>41280000</v>
      </c>
      <c r="AT75">
        <v>42300000</v>
      </c>
      <c r="AU75">
        <v>45330000</v>
      </c>
      <c r="AV75">
        <v>44910000</v>
      </c>
      <c r="AW75">
        <v>48570000</v>
      </c>
      <c r="AX75">
        <v>49860000</v>
      </c>
      <c r="AY75">
        <v>51930000</v>
      </c>
      <c r="AZ75">
        <v>53790000</v>
      </c>
    </row>
    <row r="76" spans="1:52" x14ac:dyDescent="0.35">
      <c r="A76" t="s">
        <v>143</v>
      </c>
      <c r="B76" t="s">
        <v>327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150546.25972999999</v>
      </c>
      <c r="K76">
        <v>135475.55179</v>
      </c>
      <c r="L76">
        <v>132113.59232</v>
      </c>
      <c r="M76">
        <v>141560.53700000001</v>
      </c>
      <c r="N76">
        <v>144949.57715</v>
      </c>
      <c r="O76">
        <v>127103.42236</v>
      </c>
      <c r="P76">
        <v>137021.02174</v>
      </c>
      <c r="Q76">
        <v>163177.73811000001</v>
      </c>
      <c r="R76">
        <v>170769.16581000001</v>
      </c>
      <c r="S76">
        <v>131837.17908999999</v>
      </c>
      <c r="AJ76">
        <v>8150782.54</v>
      </c>
      <c r="AK76">
        <v>6898546.4000000004</v>
      </c>
      <c r="AL76">
        <v>6212717.4000000004</v>
      </c>
      <c r="AM76">
        <v>7469922.1600000001</v>
      </c>
      <c r="AN76">
        <v>7605539</v>
      </c>
      <c r="AO76">
        <v>8754832.9000000004</v>
      </c>
      <c r="AP76">
        <v>9080849.6899999995</v>
      </c>
      <c r="AQ76">
        <v>9146785.6699999999</v>
      </c>
      <c r="AR76">
        <v>9575369.5399999991</v>
      </c>
      <c r="AS76">
        <v>9077186.5800000001</v>
      </c>
      <c r="AT76">
        <v>10300665.32</v>
      </c>
      <c r="AU76">
        <v>11245747.699999999</v>
      </c>
      <c r="AV76">
        <v>11161496.17</v>
      </c>
      <c r="AW76">
        <v>13088292.029999999</v>
      </c>
      <c r="AX76">
        <v>10933633.155999999</v>
      </c>
      <c r="AY76">
        <v>13002018.9</v>
      </c>
      <c r="AZ76">
        <v>9325841.0099999998</v>
      </c>
    </row>
    <row r="77" spans="1:52" x14ac:dyDescent="0.35">
      <c r="A77" t="s">
        <v>145</v>
      </c>
      <c r="B77" t="s">
        <v>329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1165.6760732</v>
      </c>
      <c r="K77">
        <v>1329.9885409999999</v>
      </c>
      <c r="L77">
        <v>863.41645455000003</v>
      </c>
      <c r="M77">
        <v>1276.4434318000001</v>
      </c>
      <c r="N77">
        <v>1327.3770302999999</v>
      </c>
      <c r="O77">
        <v>2300.8845455000001</v>
      </c>
      <c r="P77">
        <v>4890.4059524000004</v>
      </c>
      <c r="Q77">
        <v>6864.6079355000002</v>
      </c>
      <c r="R77">
        <v>11288.450951999999</v>
      </c>
      <c r="S77">
        <v>2693.6197941</v>
      </c>
      <c r="AJ77">
        <v>1980710.9491000001</v>
      </c>
      <c r="AK77">
        <v>2824197.4604000002</v>
      </c>
      <c r="AL77">
        <v>2374325.2985999999</v>
      </c>
      <c r="AM77">
        <v>2349332.4007000001</v>
      </c>
      <c r="AN77">
        <v>2086906.973</v>
      </c>
      <c r="AO77">
        <v>2299346.605</v>
      </c>
      <c r="AP77">
        <v>2199375.0134000001</v>
      </c>
      <c r="AQ77">
        <v>1986935.3814999999</v>
      </c>
      <c r="AR77">
        <v>1637057.8986</v>
      </c>
      <c r="AS77">
        <v>1499595.0216000001</v>
      </c>
      <c r="AT77">
        <v>1662051.1488999999</v>
      </c>
      <c r="AU77">
        <v>1612209.1592000001</v>
      </c>
      <c r="AV77">
        <v>2174607.7031</v>
      </c>
      <c r="AW77">
        <v>3924292.0619000001</v>
      </c>
      <c r="AX77">
        <v>5673976.4206999997</v>
      </c>
      <c r="AY77">
        <v>5324039.5488999998</v>
      </c>
      <c r="AZ77">
        <v>2799606.6179</v>
      </c>
    </row>
    <row r="78" spans="1:52" x14ac:dyDescent="0.35">
      <c r="A78" t="s">
        <v>146</v>
      </c>
      <c r="B78" t="s">
        <v>330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2658.3354146000001</v>
      </c>
      <c r="K78">
        <v>2308.9333443</v>
      </c>
      <c r="L78">
        <v>1063.4004545</v>
      </c>
      <c r="M78">
        <v>1312.6267273000001</v>
      </c>
      <c r="N78">
        <v>1705.1120455</v>
      </c>
      <c r="O78">
        <v>15916.481363000001</v>
      </c>
      <c r="P78">
        <v>16647.9205</v>
      </c>
      <c r="Q78">
        <v>16055.215629</v>
      </c>
      <c r="R78">
        <v>28289.888286000001</v>
      </c>
      <c r="S78">
        <v>7192.8306470999996</v>
      </c>
      <c r="AJ78">
        <v>1537301.16</v>
      </c>
      <c r="AK78">
        <v>1480748.79</v>
      </c>
      <c r="AL78">
        <v>1208226.9224</v>
      </c>
      <c r="AM78">
        <v>1178194.5131999999</v>
      </c>
      <c r="AN78">
        <v>945056.71707999997</v>
      </c>
      <c r="AO78">
        <v>910954.43602000002</v>
      </c>
      <c r="AP78">
        <v>1068374.7705999999</v>
      </c>
      <c r="AQ78">
        <v>1094997.3271999999</v>
      </c>
      <c r="AR78">
        <v>1137703.7792</v>
      </c>
      <c r="AS78">
        <v>958127.31714000006</v>
      </c>
      <c r="AT78">
        <v>987091.26263999997</v>
      </c>
      <c r="AU78">
        <v>1182104.1732000001</v>
      </c>
      <c r="AV78">
        <v>1773156.2598000001</v>
      </c>
      <c r="AW78">
        <v>1912227.3389999999</v>
      </c>
      <c r="AX78">
        <v>1981641.8456999999</v>
      </c>
      <c r="AY78">
        <v>1727982.3381000001</v>
      </c>
      <c r="AZ78">
        <v>2184146.3681000001</v>
      </c>
    </row>
    <row r="79" spans="1:52" x14ac:dyDescent="0.35">
      <c r="A79" t="s">
        <v>148</v>
      </c>
      <c r="B79" t="s">
        <v>332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938.80765854000003</v>
      </c>
      <c r="K79">
        <v>901.57132787</v>
      </c>
      <c r="L79">
        <v>696.74281817999997</v>
      </c>
      <c r="M79">
        <v>845.17920455000001</v>
      </c>
      <c r="N79">
        <v>870.41642423999997</v>
      </c>
      <c r="O79">
        <v>647.74249999999995</v>
      </c>
      <c r="P79">
        <v>786.65788095000005</v>
      </c>
      <c r="Q79">
        <v>1191.8275484000001</v>
      </c>
      <c r="R79">
        <v>1562.184381</v>
      </c>
      <c r="S79">
        <v>477.14882353000002</v>
      </c>
      <c r="AJ79">
        <v>956845.18714000005</v>
      </c>
      <c r="AK79">
        <v>897146.89286000002</v>
      </c>
      <c r="AL79">
        <v>909440.31655999995</v>
      </c>
      <c r="AM79">
        <v>960631.45374000003</v>
      </c>
      <c r="AN79">
        <v>866772.29868000001</v>
      </c>
      <c r="AO79">
        <v>844020.66839999997</v>
      </c>
      <c r="AP79">
        <v>868529.69310000003</v>
      </c>
      <c r="AQ79">
        <v>1014123.2733999999</v>
      </c>
      <c r="AR79">
        <v>997009.84</v>
      </c>
      <c r="AS79">
        <v>927828.53397999995</v>
      </c>
      <c r="AT79">
        <v>900199.29578000004</v>
      </c>
      <c r="AU79">
        <v>865663.77159999998</v>
      </c>
      <c r="AV79">
        <v>849859.39188000001</v>
      </c>
      <c r="AW79">
        <v>875561.44565999997</v>
      </c>
      <c r="AX79">
        <v>964446.58953</v>
      </c>
      <c r="AY79">
        <v>898549.03793999995</v>
      </c>
      <c r="AZ79">
        <v>865868.23904000001</v>
      </c>
    </row>
    <row r="80" spans="1:52" x14ac:dyDescent="0.35">
      <c r="A80" t="s">
        <v>150</v>
      </c>
      <c r="B80" t="s">
        <v>334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76236.895950999999</v>
      </c>
      <c r="K80">
        <v>73534.470098000005</v>
      </c>
      <c r="L80">
        <v>58955.250455000001</v>
      </c>
      <c r="M80">
        <v>60901.552454999997</v>
      </c>
      <c r="N80">
        <v>61277.899545</v>
      </c>
      <c r="O80">
        <v>71617.623135999995</v>
      </c>
      <c r="P80">
        <v>78193.982428999996</v>
      </c>
      <c r="Q80">
        <v>103561.62445</v>
      </c>
      <c r="R80">
        <v>113838.23166</v>
      </c>
      <c r="S80">
        <v>94199.818499999994</v>
      </c>
      <c r="AJ80">
        <v>5419587.0323999999</v>
      </c>
      <c r="AK80">
        <v>5015890.1721999999</v>
      </c>
      <c r="AL80">
        <v>4601583.5291999998</v>
      </c>
      <c r="AM80">
        <v>4964866.4393999996</v>
      </c>
      <c r="AN80">
        <v>5077311.1497</v>
      </c>
      <c r="AO80">
        <v>5448003.5652999999</v>
      </c>
      <c r="AP80">
        <v>6300824.9950999999</v>
      </c>
      <c r="AQ80">
        <v>7047910.4347000001</v>
      </c>
      <c r="AR80">
        <v>7075644.4649999999</v>
      </c>
      <c r="AS80">
        <v>6848572.0924000004</v>
      </c>
      <c r="AT80">
        <v>8034201.8850999996</v>
      </c>
      <c r="AU80">
        <v>8407780.2363000009</v>
      </c>
      <c r="AV80">
        <v>8828949.1906000003</v>
      </c>
      <c r="AW80">
        <v>9624490.5486999992</v>
      </c>
      <c r="AX80">
        <v>7327738.8086000001</v>
      </c>
      <c r="AY80">
        <v>7239515.3244000003</v>
      </c>
      <c r="AZ80">
        <v>5553640.4130999995</v>
      </c>
    </row>
    <row r="81" spans="1:52" x14ac:dyDescent="0.35">
      <c r="A81" t="s">
        <v>144</v>
      </c>
      <c r="B81" t="s">
        <v>328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515.45387804999996</v>
      </c>
      <c r="K81">
        <v>469.49242622999998</v>
      </c>
      <c r="L81">
        <v>231.95168182</v>
      </c>
      <c r="M81">
        <v>240.58613636000001</v>
      </c>
      <c r="N81">
        <v>272.08421212000002</v>
      </c>
      <c r="O81">
        <v>329.43150000000003</v>
      </c>
      <c r="P81">
        <v>372.36826189999999</v>
      </c>
      <c r="Q81">
        <v>403.73720967999998</v>
      </c>
      <c r="R81">
        <v>359.18785714000001</v>
      </c>
      <c r="S81">
        <v>219.04788235000001</v>
      </c>
      <c r="AJ81">
        <v>361305.42</v>
      </c>
      <c r="AK81">
        <v>313232.57</v>
      </c>
      <c r="AL81">
        <v>311208.45</v>
      </c>
      <c r="AM81">
        <v>289449.15999999997</v>
      </c>
      <c r="AN81">
        <v>281858.71000000002</v>
      </c>
      <c r="AO81">
        <v>274268.26</v>
      </c>
      <c r="AP81">
        <v>309690.36</v>
      </c>
      <c r="AQ81">
        <v>273256.2</v>
      </c>
      <c r="AR81">
        <v>262629.57</v>
      </c>
      <c r="AS81">
        <v>247448.67</v>
      </c>
      <c r="AT81">
        <v>247448.67</v>
      </c>
      <c r="AU81">
        <v>253015</v>
      </c>
      <c r="AV81">
        <v>274774.28999999998</v>
      </c>
      <c r="AW81">
        <v>307666.24</v>
      </c>
      <c r="AX81">
        <v>349160.7</v>
      </c>
      <c r="AY81">
        <v>353714.97</v>
      </c>
      <c r="AZ81">
        <v>327907.44</v>
      </c>
    </row>
    <row r="82" spans="1:52" x14ac:dyDescent="0.35">
      <c r="A82" t="s">
        <v>147</v>
      </c>
      <c r="B82" t="s">
        <v>331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15369.804878000001</v>
      </c>
      <c r="K82">
        <v>15387.323541</v>
      </c>
      <c r="L82">
        <v>17883.046909000001</v>
      </c>
      <c r="M82">
        <v>13535.740454000001</v>
      </c>
      <c r="N82">
        <v>13756.29456</v>
      </c>
      <c r="O82">
        <v>12979.158318</v>
      </c>
      <c r="P82">
        <v>12931.494428</v>
      </c>
      <c r="Q82">
        <v>12786.464596</v>
      </c>
      <c r="R82">
        <v>14977.340475999999</v>
      </c>
      <c r="S82">
        <v>8623.3150588000008</v>
      </c>
      <c r="AJ82">
        <v>6693253.9199999999</v>
      </c>
      <c r="AK82">
        <v>5860639</v>
      </c>
      <c r="AL82">
        <v>4817849.4400000004</v>
      </c>
      <c r="AM82">
        <v>4898685.84</v>
      </c>
      <c r="AN82">
        <v>4567256.5999999996</v>
      </c>
      <c r="AO82">
        <v>4349003.7</v>
      </c>
      <c r="AP82">
        <v>4470258.45</v>
      </c>
      <c r="AQ82">
        <v>4486425.75</v>
      </c>
      <c r="AR82">
        <v>4594996.3499999996</v>
      </c>
      <c r="AS82">
        <v>4619308.5</v>
      </c>
      <c r="AT82">
        <v>4651724.7</v>
      </c>
      <c r="AU82">
        <v>4700349</v>
      </c>
      <c r="AV82">
        <v>4343770.8</v>
      </c>
      <c r="AW82">
        <v>4303250.55</v>
      </c>
      <c r="AX82">
        <v>4538265</v>
      </c>
      <c r="AY82">
        <v>5200851.6900000004</v>
      </c>
      <c r="AZ82">
        <v>4448563</v>
      </c>
    </row>
    <row r="83" spans="1:52" x14ac:dyDescent="0.35">
      <c r="A83" t="s">
        <v>151</v>
      </c>
      <c r="B83" t="s">
        <v>335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34821.453000000001</v>
      </c>
      <c r="K83">
        <v>33754.586344000003</v>
      </c>
      <c r="L83">
        <v>20505.424727000001</v>
      </c>
      <c r="M83">
        <v>24116.575545</v>
      </c>
      <c r="N83">
        <v>27452.216152000001</v>
      </c>
      <c r="O83">
        <v>24838.040908999999</v>
      </c>
      <c r="P83">
        <v>36664.228761999999</v>
      </c>
      <c r="Q83">
        <v>41170.761967999999</v>
      </c>
      <c r="R83">
        <v>49826.489000000001</v>
      </c>
      <c r="S83">
        <v>31780.618147000001</v>
      </c>
      <c r="AJ83">
        <v>4959777.7300000004</v>
      </c>
      <c r="AK83">
        <v>3825915.5</v>
      </c>
      <c r="AL83">
        <v>2949433.04</v>
      </c>
      <c r="AM83">
        <v>3665922.67</v>
      </c>
      <c r="AN83">
        <v>3429411.53</v>
      </c>
      <c r="AO83">
        <v>3770265.82</v>
      </c>
      <c r="AP83">
        <v>4598054.8099999996</v>
      </c>
      <c r="AQ83">
        <v>4695441.75</v>
      </c>
      <c r="AR83">
        <v>5210201.29</v>
      </c>
      <c r="AS83">
        <v>4695441.75</v>
      </c>
      <c r="AT83">
        <v>5641486.3099999996</v>
      </c>
      <c r="AU83">
        <v>5446712.4299999997</v>
      </c>
      <c r="AV83">
        <v>5544099.3700000001</v>
      </c>
      <c r="AW83">
        <v>7526619.2199999997</v>
      </c>
      <c r="AX83">
        <v>7373582.5999999996</v>
      </c>
      <c r="AY83">
        <v>8222240.2199999997</v>
      </c>
      <c r="AZ83">
        <v>4159813.58</v>
      </c>
    </row>
    <row r="84" spans="1:52" x14ac:dyDescent="0.35">
      <c r="A84" t="s">
        <v>158</v>
      </c>
      <c r="B84" t="s">
        <v>340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60845.359878000003</v>
      </c>
      <c r="K84">
        <v>63521.197902</v>
      </c>
      <c r="L84">
        <v>53519.211908999998</v>
      </c>
      <c r="M84">
        <v>46492.527613999999</v>
      </c>
      <c r="N84">
        <v>45036.046515000002</v>
      </c>
      <c r="O84">
        <v>62261.904181999998</v>
      </c>
      <c r="P84">
        <v>64114.398929000003</v>
      </c>
      <c r="Q84">
        <v>59235.308935000001</v>
      </c>
      <c r="R84">
        <v>67415.768429000003</v>
      </c>
      <c r="S84">
        <v>131112.17047000001</v>
      </c>
      <c r="AJ84">
        <v>33836523.377999999</v>
      </c>
      <c r="AK84">
        <v>31005254.120000001</v>
      </c>
      <c r="AL84">
        <v>28965434.77</v>
      </c>
      <c r="AM84">
        <v>30066937.219000001</v>
      </c>
      <c r="AN84">
        <v>30328034.096000001</v>
      </c>
      <c r="AO84">
        <v>31494810.763999999</v>
      </c>
      <c r="AP84">
        <v>33918116.152000003</v>
      </c>
      <c r="AQ84">
        <v>33501993.004000001</v>
      </c>
      <c r="AR84">
        <v>37051278.673</v>
      </c>
      <c r="AS84">
        <v>33298011.068999998</v>
      </c>
      <c r="AT84">
        <v>32588153.936000001</v>
      </c>
      <c r="AU84">
        <v>33208259.017999999</v>
      </c>
      <c r="AV84">
        <v>32637109.600000001</v>
      </c>
      <c r="AW84">
        <v>35000036.335000001</v>
      </c>
      <c r="AX84">
        <v>35833914.484999999</v>
      </c>
      <c r="AY84">
        <v>37433132.855999999</v>
      </c>
      <c r="AZ84">
        <v>39729501.636</v>
      </c>
    </row>
    <row r="85" spans="1:52" x14ac:dyDescent="0.35">
      <c r="A85" t="s">
        <v>152</v>
      </c>
      <c r="B85" t="s">
        <v>489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341830.25423999998</v>
      </c>
      <c r="K85">
        <v>323758.07763999997</v>
      </c>
      <c r="L85">
        <v>202402.97414000001</v>
      </c>
      <c r="M85">
        <v>279229.15645000001</v>
      </c>
      <c r="N85">
        <v>311050.48960999999</v>
      </c>
      <c r="O85">
        <v>411205.30741000001</v>
      </c>
      <c r="P85">
        <v>483502.8651</v>
      </c>
      <c r="Q85">
        <v>552600.42752999999</v>
      </c>
      <c r="R85">
        <v>724019.34828999999</v>
      </c>
      <c r="S85">
        <v>607682.67402999999</v>
      </c>
      <c r="AJ85">
        <v>86547928.916999996</v>
      </c>
      <c r="AK85">
        <v>78561201.984999999</v>
      </c>
      <c r="AL85">
        <v>77730412.618000001</v>
      </c>
      <c r="AM85">
        <v>83107696.306999996</v>
      </c>
      <c r="AN85">
        <v>86927211.024000004</v>
      </c>
      <c r="AO85">
        <v>92676983.649000004</v>
      </c>
      <c r="AP85">
        <v>99957235.450000003</v>
      </c>
      <c r="AQ85">
        <v>95683221.111000001</v>
      </c>
      <c r="AR85">
        <v>91610498.930999994</v>
      </c>
      <c r="AS85">
        <v>86704572.890000001</v>
      </c>
      <c r="AT85">
        <v>101994158.97</v>
      </c>
      <c r="AU85">
        <v>118897291.59999999</v>
      </c>
      <c r="AV85">
        <v>126284886.56999999</v>
      </c>
      <c r="AW85">
        <v>141763903.09</v>
      </c>
      <c r="AX85">
        <v>143319425.03999999</v>
      </c>
      <c r="AY85">
        <v>154390846.28</v>
      </c>
      <c r="AZ85">
        <v>143824128.19</v>
      </c>
    </row>
    <row r="86" spans="1:52" x14ac:dyDescent="0.35">
      <c r="A86" t="s">
        <v>153</v>
      </c>
      <c r="B86" t="s">
        <v>490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70721.965536999996</v>
      </c>
      <c r="K86">
        <v>63705.792179999997</v>
      </c>
      <c r="L86">
        <v>41271.588135999998</v>
      </c>
      <c r="M86">
        <v>76459.488658999995</v>
      </c>
      <c r="N86">
        <v>75125.263984999998</v>
      </c>
      <c r="O86">
        <v>67772.750818</v>
      </c>
      <c r="P86">
        <v>110621.15257000001</v>
      </c>
      <c r="Q86">
        <v>107264.38098</v>
      </c>
      <c r="R86">
        <v>87642.269381000006</v>
      </c>
      <c r="S86">
        <v>0</v>
      </c>
      <c r="AJ86">
        <v>86547928.916999996</v>
      </c>
      <c r="AK86">
        <v>78561201.984999999</v>
      </c>
      <c r="AL86">
        <v>77730412.618000001</v>
      </c>
      <c r="AM86">
        <v>83107696.306999996</v>
      </c>
      <c r="AN86">
        <v>86927211.024000004</v>
      </c>
      <c r="AO86">
        <v>92676983.649000004</v>
      </c>
      <c r="AP86">
        <v>99957235.450000003</v>
      </c>
      <c r="AQ86">
        <v>95683221.111000001</v>
      </c>
      <c r="AR86">
        <v>91610498.930999994</v>
      </c>
      <c r="AS86">
        <v>86704572.890000001</v>
      </c>
      <c r="AT86">
        <v>101994158.97</v>
      </c>
      <c r="AU86">
        <v>118897291.59999999</v>
      </c>
      <c r="AV86">
        <v>126284886.56999999</v>
      </c>
      <c r="AW86">
        <v>141763903.09</v>
      </c>
      <c r="AX86">
        <v>143319425.03999999</v>
      </c>
      <c r="AY86">
        <v>154390846.28</v>
      </c>
      <c r="AZ86">
        <v>143824128.19</v>
      </c>
    </row>
    <row r="87" spans="1:52" x14ac:dyDescent="0.35">
      <c r="A87" t="s">
        <v>464</v>
      </c>
      <c r="B87" t="s">
        <v>477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3719.5923170999999</v>
      </c>
      <c r="K87">
        <v>2599.7783115000002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AJ87">
        <v>2559250.5161000001</v>
      </c>
      <c r="AK87">
        <v>3984461.8813999998</v>
      </c>
      <c r="AL87">
        <v>3984461.8813999998</v>
      </c>
      <c r="AM87">
        <v>4104274.3714999999</v>
      </c>
      <c r="AN87">
        <v>4155821.6057000002</v>
      </c>
      <c r="AO87">
        <v>4221300.5247</v>
      </c>
      <c r="AP87">
        <v>4374304.9994999999</v>
      </c>
      <c r="AQ87">
        <v>4462992.6743999999</v>
      </c>
      <c r="AR87">
        <v>4434383.7470000004</v>
      </c>
    </row>
    <row r="88" spans="1:52" x14ac:dyDescent="0.35">
      <c r="A88" t="s">
        <v>154</v>
      </c>
      <c r="B88" t="s">
        <v>336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148.18346341</v>
      </c>
      <c r="K88">
        <v>138.62118032999999</v>
      </c>
      <c r="L88">
        <v>90.388181818000007</v>
      </c>
      <c r="M88">
        <v>94.538931817999995</v>
      </c>
      <c r="N88">
        <v>232.49878788000001</v>
      </c>
      <c r="O88">
        <v>278.14636364</v>
      </c>
      <c r="P88">
        <v>250.31783333000001</v>
      </c>
      <c r="Q88">
        <v>261.64296774000002</v>
      </c>
      <c r="R88">
        <v>153.10828570999999</v>
      </c>
      <c r="S88">
        <v>109.39873529</v>
      </c>
      <c r="AJ88">
        <v>1881785.76</v>
      </c>
      <c r="AK88">
        <v>1918807.58</v>
      </c>
      <c r="AL88">
        <v>1963514</v>
      </c>
      <c r="AM88">
        <v>2019119</v>
      </c>
      <c r="AN88">
        <v>1566183.33</v>
      </c>
      <c r="AO88">
        <v>1385512.5</v>
      </c>
      <c r="AP88">
        <v>1200038.56</v>
      </c>
      <c r="AQ88">
        <v>1120971.98</v>
      </c>
      <c r="AR88">
        <v>1126483.54</v>
      </c>
      <c r="AS88">
        <v>2862598.42</v>
      </c>
      <c r="AT88">
        <v>2834280.66</v>
      </c>
      <c r="AU88">
        <v>1289415.3999999999</v>
      </c>
      <c r="AV88">
        <v>1495574.08</v>
      </c>
      <c r="AW88">
        <v>1370327.14</v>
      </c>
      <c r="AX88">
        <v>1650133.56</v>
      </c>
      <c r="AY88">
        <v>1805583.6</v>
      </c>
      <c r="AZ88">
        <v>1227729.54</v>
      </c>
    </row>
    <row r="89" spans="1:52" x14ac:dyDescent="0.35">
      <c r="A89" t="s">
        <v>493</v>
      </c>
      <c r="B89" t="s">
        <v>494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312709.14172999997</v>
      </c>
      <c r="K89">
        <v>319322.679</v>
      </c>
      <c r="L89">
        <v>628617.55764000001</v>
      </c>
      <c r="M89">
        <v>559788.36757</v>
      </c>
      <c r="N89">
        <v>501535.52792000002</v>
      </c>
      <c r="O89">
        <v>413020.60868</v>
      </c>
      <c r="P89">
        <v>390916.99063999997</v>
      </c>
      <c r="Q89">
        <v>379449.62728999997</v>
      </c>
      <c r="R89">
        <v>384707.21943</v>
      </c>
      <c r="S89">
        <v>414873.34149999998</v>
      </c>
      <c r="AJ89">
        <v>35615007.840000004</v>
      </c>
      <c r="AK89">
        <v>42704216.289999999</v>
      </c>
      <c r="AL89">
        <v>41279028.270000003</v>
      </c>
      <c r="AM89">
        <v>44107365.32</v>
      </c>
      <c r="AN89">
        <v>51218612.759999998</v>
      </c>
      <c r="AO89">
        <v>48231964.5</v>
      </c>
      <c r="AP89">
        <v>47623104.719999999</v>
      </c>
      <c r="AQ89">
        <v>48041237.340000004</v>
      </c>
      <c r="AR89">
        <v>56491917.659999996</v>
      </c>
      <c r="AS89">
        <v>55934407.5</v>
      </c>
      <c r="AT89">
        <v>55897729.200000003</v>
      </c>
      <c r="AU89">
        <v>58898014.140000001</v>
      </c>
      <c r="AV89">
        <v>63812906.340000004</v>
      </c>
      <c r="AW89">
        <v>61648886.640000001</v>
      </c>
      <c r="AX89">
        <v>64037067.600000001</v>
      </c>
      <c r="AY89">
        <v>70072163.700000003</v>
      </c>
      <c r="AZ89">
        <v>71496506.519999996</v>
      </c>
    </row>
    <row r="90" spans="1:52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173861.38529000001</v>
      </c>
      <c r="K90">
        <v>151025.91725</v>
      </c>
      <c r="L90">
        <v>74523.185681999996</v>
      </c>
      <c r="M90">
        <v>100736.00529</v>
      </c>
      <c r="N90">
        <v>135582.45456000001</v>
      </c>
      <c r="O90">
        <v>135053.89694999999</v>
      </c>
      <c r="P90">
        <v>164877.43783000001</v>
      </c>
      <c r="Q90">
        <v>186178.12719</v>
      </c>
      <c r="R90">
        <v>329400.25137999997</v>
      </c>
      <c r="S90">
        <v>211121.22370999999</v>
      </c>
      <c r="AJ90">
        <v>25262583.763999999</v>
      </c>
      <c r="AK90">
        <v>22307556.763999999</v>
      </c>
      <c r="AL90">
        <v>20337536.699999999</v>
      </c>
      <c r="AM90">
        <v>22655204.699999999</v>
      </c>
      <c r="AN90">
        <v>22751774.199999999</v>
      </c>
      <c r="AO90">
        <v>22604598.379999999</v>
      </c>
      <c r="AP90">
        <v>25814718.859999999</v>
      </c>
      <c r="AQ90">
        <v>26693680.420000002</v>
      </c>
      <c r="AR90">
        <v>26090220.388</v>
      </c>
      <c r="AS90">
        <v>26092560.600000001</v>
      </c>
      <c r="AT90">
        <v>28947033.088</v>
      </c>
      <c r="AU90">
        <v>31706166.679000001</v>
      </c>
      <c r="AV90">
        <v>35077940.295999996</v>
      </c>
      <c r="AW90">
        <v>38066557.82</v>
      </c>
      <c r="AX90">
        <v>38660944.899999999</v>
      </c>
      <c r="AY90">
        <v>40461801.600000001</v>
      </c>
      <c r="AZ90">
        <v>46926012.649999999</v>
      </c>
    </row>
    <row r="91" spans="1:52" x14ac:dyDescent="0.35">
      <c r="A91" t="s">
        <v>157</v>
      </c>
      <c r="B91" t="s">
        <v>339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136850.77493000001</v>
      </c>
      <c r="K91">
        <v>130208.00363000001</v>
      </c>
      <c r="L91">
        <v>82683.989772999994</v>
      </c>
      <c r="M91">
        <v>94428.757817999998</v>
      </c>
      <c r="N91">
        <v>105776.02757000001</v>
      </c>
      <c r="O91">
        <v>127150.22077</v>
      </c>
      <c r="P91">
        <v>127908.78159</v>
      </c>
      <c r="Q91">
        <v>138769.41685000001</v>
      </c>
      <c r="R91">
        <v>143865.13052000001</v>
      </c>
      <c r="S91">
        <v>150199.78993999999</v>
      </c>
      <c r="AJ91">
        <v>21861227.000999998</v>
      </c>
      <c r="AK91">
        <v>20646953.191</v>
      </c>
      <c r="AL91">
        <v>19082355.977000002</v>
      </c>
      <c r="AM91">
        <v>20634350.642999999</v>
      </c>
      <c r="AN91">
        <v>19198457.638999999</v>
      </c>
      <c r="AO91">
        <v>20332518.699000001</v>
      </c>
      <c r="AP91">
        <v>22645525.289000001</v>
      </c>
      <c r="AQ91">
        <v>23643736.734999999</v>
      </c>
      <c r="AR91">
        <v>23577845.897</v>
      </c>
      <c r="AS91">
        <v>22157234.173</v>
      </c>
      <c r="AT91">
        <v>24625377.379000001</v>
      </c>
      <c r="AU91">
        <v>24981157.927999999</v>
      </c>
      <c r="AV91">
        <v>26387348.056000002</v>
      </c>
      <c r="AW91">
        <v>27044216.103999998</v>
      </c>
      <c r="AX91">
        <v>25402114.805</v>
      </c>
      <c r="AY91">
        <v>27487860.044</v>
      </c>
      <c r="AZ91">
        <v>23489135.416999999</v>
      </c>
    </row>
    <row r="92" spans="1:52" x14ac:dyDescent="0.35">
      <c r="A92" t="s">
        <v>155</v>
      </c>
      <c r="B92" t="s">
        <v>337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53.606390244000004</v>
      </c>
      <c r="K92">
        <v>47.150606557000003</v>
      </c>
      <c r="L92">
        <v>85.343454545</v>
      </c>
      <c r="M92">
        <v>110.51061362999999</v>
      </c>
      <c r="N92">
        <v>107.79154545</v>
      </c>
      <c r="O92">
        <v>57.404227272999997</v>
      </c>
      <c r="P92">
        <v>83.645714286</v>
      </c>
      <c r="Q92">
        <v>92.106758064999994</v>
      </c>
      <c r="R92">
        <v>77.767904762000001</v>
      </c>
      <c r="S92">
        <v>38.862882353000003</v>
      </c>
      <c r="AJ92">
        <v>21861227.000999998</v>
      </c>
      <c r="AK92">
        <v>20646953.191</v>
      </c>
      <c r="AL92">
        <v>19082355.977000002</v>
      </c>
      <c r="AM92">
        <v>20634350.642999999</v>
      </c>
      <c r="AN92">
        <v>19198457.638999999</v>
      </c>
      <c r="AO92">
        <v>20332518.699000001</v>
      </c>
      <c r="AP92">
        <v>22645525.289000001</v>
      </c>
      <c r="AQ92">
        <v>23643736.734999999</v>
      </c>
      <c r="AR92">
        <v>23577845.897</v>
      </c>
      <c r="AS92">
        <v>22157234.173</v>
      </c>
      <c r="AT92">
        <v>24625377.379000001</v>
      </c>
      <c r="AU92">
        <v>24981157.927999999</v>
      </c>
      <c r="AV92">
        <v>26387348.056000002</v>
      </c>
      <c r="AW92">
        <v>27044216.103999998</v>
      </c>
      <c r="AX92">
        <v>25402114.805</v>
      </c>
      <c r="AY92">
        <v>27487860.044</v>
      </c>
      <c r="AZ92">
        <v>23489135.416999999</v>
      </c>
    </row>
    <row r="93" spans="1:52" x14ac:dyDescent="0.35">
      <c r="A93" t="s">
        <v>156</v>
      </c>
      <c r="B93" t="s">
        <v>338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79.343829267999993</v>
      </c>
      <c r="K93">
        <v>67.101540983999996</v>
      </c>
      <c r="L93">
        <v>48.059318181999998</v>
      </c>
      <c r="M93">
        <v>113.28818181</v>
      </c>
      <c r="N93">
        <v>95.721196969999994</v>
      </c>
      <c r="O93">
        <v>65.142318181999997</v>
      </c>
      <c r="P93">
        <v>106.45595238</v>
      </c>
      <c r="Q93">
        <v>119.14514516</v>
      </c>
      <c r="R93">
        <v>149.76595237999999</v>
      </c>
      <c r="S93">
        <v>51.644941176000003</v>
      </c>
      <c r="AJ93">
        <v>21861227.000999998</v>
      </c>
      <c r="AK93">
        <v>20646953.191</v>
      </c>
      <c r="AL93">
        <v>19082355.977000002</v>
      </c>
      <c r="AM93">
        <v>20634350.642999999</v>
      </c>
      <c r="AN93">
        <v>19198457.638999999</v>
      </c>
      <c r="AO93">
        <v>20332518.699000001</v>
      </c>
      <c r="AP93">
        <v>22645525.289000001</v>
      </c>
      <c r="AQ93">
        <v>23643736.734999999</v>
      </c>
      <c r="AR93">
        <v>23577845.897</v>
      </c>
      <c r="AS93">
        <v>22157234.173</v>
      </c>
      <c r="AT93">
        <v>24625377.379000001</v>
      </c>
      <c r="AU93">
        <v>24981157.927999999</v>
      </c>
      <c r="AV93">
        <v>26387348.056000002</v>
      </c>
      <c r="AW93">
        <v>27044216.103999998</v>
      </c>
      <c r="AX93">
        <v>25402114.805</v>
      </c>
      <c r="AY93">
        <v>27487860.044</v>
      </c>
      <c r="AZ93">
        <v>23489135.416999999</v>
      </c>
    </row>
    <row r="94" spans="1:52" x14ac:dyDescent="0.35">
      <c r="A94" t="s">
        <v>159</v>
      </c>
      <c r="B94" t="s">
        <v>341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1538.0893659000001</v>
      </c>
      <c r="K94">
        <v>1427.5158524999999</v>
      </c>
      <c r="L94">
        <v>1057.0480454999999</v>
      </c>
      <c r="M94">
        <v>952.22788635999996</v>
      </c>
      <c r="N94">
        <v>846.37304544999995</v>
      </c>
      <c r="O94">
        <v>540.75886363999996</v>
      </c>
      <c r="P94">
        <v>693.74714286000005</v>
      </c>
      <c r="Q94">
        <v>600.30904839000004</v>
      </c>
      <c r="R94">
        <v>427.14819047999998</v>
      </c>
      <c r="S94">
        <v>876.93444118000002</v>
      </c>
      <c r="AJ94">
        <v>264471.93</v>
      </c>
      <c r="AK94">
        <v>252170.91</v>
      </c>
      <c r="AL94">
        <v>215267.85</v>
      </c>
      <c r="AM94">
        <v>282923.46000000002</v>
      </c>
      <c r="AN94">
        <v>256271.25</v>
      </c>
      <c r="AO94">
        <v>207067.17</v>
      </c>
      <c r="AP94">
        <v>250120.74</v>
      </c>
      <c r="AQ94">
        <v>243970.23</v>
      </c>
      <c r="AR94">
        <v>239869.89</v>
      </c>
      <c r="AS94">
        <v>211167.51</v>
      </c>
      <c r="AT94">
        <v>196816.32</v>
      </c>
      <c r="AU94">
        <v>190665.81</v>
      </c>
      <c r="AV94">
        <v>184515.3</v>
      </c>
      <c r="AW94">
        <v>211167.51</v>
      </c>
      <c r="AX94">
        <v>219368.19</v>
      </c>
      <c r="AY94">
        <v>227568.87</v>
      </c>
      <c r="AZ94">
        <v>164013.6</v>
      </c>
    </row>
    <row r="95" spans="1:52" x14ac:dyDescent="0.35">
      <c r="A95" t="s">
        <v>160</v>
      </c>
      <c r="B95" t="s">
        <v>342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88.350073171000005</v>
      </c>
      <c r="K95">
        <v>70.576196721000002</v>
      </c>
      <c r="L95">
        <v>33.703909091</v>
      </c>
      <c r="M95">
        <v>195.65227272999999</v>
      </c>
      <c r="N95">
        <v>144.92416667000001</v>
      </c>
      <c r="O95">
        <v>36.084727272999999</v>
      </c>
      <c r="P95">
        <v>37.981023810000003</v>
      </c>
      <c r="Q95">
        <v>40.698112903000002</v>
      </c>
      <c r="R95">
        <v>39.253761904999998</v>
      </c>
      <c r="S95">
        <v>112.19038234999999</v>
      </c>
      <c r="AJ95">
        <v>12989355.161</v>
      </c>
      <c r="AK95">
        <v>12663433.765000001</v>
      </c>
      <c r="AL95">
        <v>12423300.816</v>
      </c>
      <c r="AM95">
        <v>11911698.437999999</v>
      </c>
      <c r="AN95">
        <v>12242734.457</v>
      </c>
      <c r="AO95">
        <v>13565599.878</v>
      </c>
      <c r="AP95">
        <v>13809496.716</v>
      </c>
      <c r="AQ95">
        <v>12812629.24</v>
      </c>
      <c r="AR95">
        <v>12484150.823000001</v>
      </c>
      <c r="AS95">
        <v>12684057.810000001</v>
      </c>
      <c r="AT95">
        <v>12173601.516000001</v>
      </c>
      <c r="AU95">
        <v>12835969.142999999</v>
      </c>
      <c r="AV95">
        <v>12328084.991</v>
      </c>
      <c r="AW95">
        <v>13055520.039999999</v>
      </c>
      <c r="AX95">
        <v>13241022.153999999</v>
      </c>
      <c r="AY95">
        <v>14135944.548</v>
      </c>
      <c r="AZ95">
        <v>11966312.625</v>
      </c>
    </row>
    <row r="96" spans="1:52" x14ac:dyDescent="0.35">
      <c r="A96" t="s">
        <v>161</v>
      </c>
      <c r="B96" t="s">
        <v>343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0.39902439024000003</v>
      </c>
      <c r="K96">
        <v>0.26819672131</v>
      </c>
      <c r="L96">
        <v>5.8727272726999999E-2</v>
      </c>
      <c r="M96">
        <v>4.3568181817999999E-2</v>
      </c>
      <c r="N96">
        <v>2.9045454544999998E-2</v>
      </c>
      <c r="O96">
        <v>2.8409090909000002E-2</v>
      </c>
      <c r="P96">
        <v>0.76821428571000006</v>
      </c>
      <c r="Q96">
        <v>1.8211129032</v>
      </c>
      <c r="R96">
        <v>4.0695238094999997</v>
      </c>
      <c r="S96">
        <v>2.9088235293999998E-2</v>
      </c>
      <c r="AJ96">
        <v>12989355.161</v>
      </c>
      <c r="AK96">
        <v>12663433.765000001</v>
      </c>
      <c r="AL96">
        <v>12423300.816</v>
      </c>
      <c r="AM96">
        <v>11911698.437999999</v>
      </c>
      <c r="AN96">
        <v>12242734.457</v>
      </c>
      <c r="AO96">
        <v>13565599.878</v>
      </c>
      <c r="AP96">
        <v>13809496.716</v>
      </c>
      <c r="AQ96">
        <v>12812629.24</v>
      </c>
      <c r="AR96">
        <v>12484150.823000001</v>
      </c>
      <c r="AS96">
        <v>12684057.810000001</v>
      </c>
      <c r="AT96">
        <v>12173601.516000001</v>
      </c>
      <c r="AU96">
        <v>12835969.142999999</v>
      </c>
      <c r="AV96">
        <v>12328084.991</v>
      </c>
      <c r="AW96">
        <v>13055520.039999999</v>
      </c>
      <c r="AX96">
        <v>13241022.153999999</v>
      </c>
      <c r="AY96">
        <v>14135944.548</v>
      </c>
      <c r="AZ96">
        <v>11966312.625</v>
      </c>
    </row>
    <row r="97" spans="1:52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295015.26432000002</v>
      </c>
      <c r="K97">
        <v>293018.54233999999</v>
      </c>
      <c r="L97">
        <v>190825.86905000001</v>
      </c>
      <c r="M97">
        <v>215654.62948</v>
      </c>
      <c r="N97">
        <v>218402.28094</v>
      </c>
      <c r="O97">
        <v>387933.39445000002</v>
      </c>
      <c r="P97">
        <v>382623.00081</v>
      </c>
      <c r="Q97">
        <v>360360.25965999998</v>
      </c>
      <c r="R97">
        <v>271010.39237999998</v>
      </c>
      <c r="S97">
        <v>290721.77568000002</v>
      </c>
      <c r="AJ97">
        <v>40088178.571999997</v>
      </c>
      <c r="AK97">
        <v>38239809.327</v>
      </c>
      <c r="AL97">
        <v>34229688.846000001</v>
      </c>
      <c r="AM97">
        <v>38127581.288999997</v>
      </c>
      <c r="AN97">
        <v>37562344.468999997</v>
      </c>
      <c r="AO97">
        <v>40060348.704000004</v>
      </c>
      <c r="AP97">
        <v>46081919.869000003</v>
      </c>
      <c r="AQ97">
        <v>45881618.125</v>
      </c>
      <c r="AR97">
        <v>45032130.986000001</v>
      </c>
      <c r="AS97">
        <v>43241364.931999996</v>
      </c>
      <c r="AT97">
        <v>45796024.197999999</v>
      </c>
      <c r="AU97">
        <v>46362125.737000003</v>
      </c>
      <c r="AV97">
        <v>45985707.936999999</v>
      </c>
      <c r="AW97">
        <v>50027653.174000002</v>
      </c>
      <c r="AX97">
        <v>48437777.119000003</v>
      </c>
      <c r="AY97">
        <v>51482437.395000003</v>
      </c>
      <c r="AZ97">
        <v>42959720.542999998</v>
      </c>
    </row>
    <row r="98" spans="1:52" x14ac:dyDescent="0.35">
      <c r="A98" t="s">
        <v>162</v>
      </c>
      <c r="B98" t="s">
        <v>344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914.83956097999999</v>
      </c>
      <c r="K98">
        <v>1008.8305082000001</v>
      </c>
      <c r="L98">
        <v>761.21959090999997</v>
      </c>
      <c r="M98">
        <v>652.23152273000005</v>
      </c>
      <c r="N98">
        <v>638.91612121000003</v>
      </c>
      <c r="O98">
        <v>578.86381817999995</v>
      </c>
      <c r="P98">
        <v>626.28623809999999</v>
      </c>
      <c r="Q98">
        <v>654.73898386999997</v>
      </c>
      <c r="R98">
        <v>629.68271429000004</v>
      </c>
      <c r="S98">
        <v>1548.7902941</v>
      </c>
      <c r="AJ98">
        <v>1366275.73</v>
      </c>
      <c r="AK98">
        <v>1345774.78</v>
      </c>
      <c r="AL98">
        <v>1379144.38</v>
      </c>
      <c r="AM98">
        <v>1316855.2</v>
      </c>
      <c r="AN98">
        <v>1220911.3500000001</v>
      </c>
      <c r="AO98">
        <v>1207090.3500000001</v>
      </c>
      <c r="AP98">
        <v>1260709.6399999999</v>
      </c>
      <c r="AQ98">
        <v>1704433.02</v>
      </c>
      <c r="AR98">
        <v>1797173.48</v>
      </c>
      <c r="AS98">
        <v>1641327.36</v>
      </c>
      <c r="AT98">
        <v>1672358.62</v>
      </c>
      <c r="AU98">
        <v>1752479.63</v>
      </c>
      <c r="AV98">
        <v>1598118.7</v>
      </c>
      <c r="AW98">
        <v>1708827.49</v>
      </c>
      <c r="AX98">
        <v>1718960.5763999999</v>
      </c>
      <c r="AY98">
        <v>1934940</v>
      </c>
      <c r="AZ98">
        <v>1888186.53</v>
      </c>
    </row>
    <row r="99" spans="1:52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6649.0388049000003</v>
      </c>
      <c r="K99">
        <v>5956.2627212999996</v>
      </c>
      <c r="L99">
        <v>4117.4745000000003</v>
      </c>
      <c r="M99">
        <v>4419.0040681999999</v>
      </c>
      <c r="N99">
        <v>4080.7855</v>
      </c>
      <c r="O99">
        <v>6508.4588635999999</v>
      </c>
      <c r="P99">
        <v>8362.1152380999993</v>
      </c>
      <c r="Q99">
        <v>7772.3177257999996</v>
      </c>
      <c r="R99">
        <v>4914.4048571000003</v>
      </c>
      <c r="S99">
        <v>3966.5209411999999</v>
      </c>
      <c r="AJ99">
        <v>1199103.1935000001</v>
      </c>
      <c r="AK99">
        <v>1135469.1932000001</v>
      </c>
      <c r="AL99">
        <v>1055149.5053999999</v>
      </c>
      <c r="AM99">
        <v>1196886.0061000001</v>
      </c>
      <c r="AN99">
        <v>1118143.5057000001</v>
      </c>
      <c r="AO99">
        <v>1192948.8811000001</v>
      </c>
      <c r="AP99">
        <v>1131923.4432999999</v>
      </c>
      <c r="AQ99">
        <v>1415396.4447000001</v>
      </c>
      <c r="AR99">
        <v>1465211.692</v>
      </c>
      <c r="AS99">
        <v>1384683.9717000001</v>
      </c>
      <c r="AT99">
        <v>1520206.2328000001</v>
      </c>
      <c r="AU99">
        <v>1540358.0545999999</v>
      </c>
      <c r="AV99">
        <v>1461868.4722</v>
      </c>
      <c r="AW99">
        <v>1620809.8766000001</v>
      </c>
      <c r="AX99">
        <v>1525039.2098999999</v>
      </c>
      <c r="AY99">
        <v>1558362.6887999999</v>
      </c>
      <c r="AZ99">
        <v>863883.84345000004</v>
      </c>
    </row>
    <row r="100" spans="1:52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25960.822706999999</v>
      </c>
      <c r="K100">
        <v>22178.701294999999</v>
      </c>
      <c r="L100">
        <v>12364.230409</v>
      </c>
      <c r="M100">
        <v>17001.601659</v>
      </c>
      <c r="N100">
        <v>17895.321455000001</v>
      </c>
      <c r="O100">
        <v>22715.690635999999</v>
      </c>
      <c r="P100">
        <v>27575.962357</v>
      </c>
      <c r="Q100">
        <v>28806.682387000001</v>
      </c>
      <c r="R100">
        <v>33488.223904999999</v>
      </c>
      <c r="S100">
        <v>21090.490559000002</v>
      </c>
      <c r="AJ100">
        <v>3047216.0709000002</v>
      </c>
      <c r="AK100">
        <v>2761471.4</v>
      </c>
      <c r="AL100">
        <v>2362301.3635</v>
      </c>
      <c r="AM100">
        <v>2772377.6850999999</v>
      </c>
      <c r="AN100">
        <v>2672039.8618000001</v>
      </c>
      <c r="AO100">
        <v>3317691.9426000002</v>
      </c>
      <c r="AP100">
        <v>2896709.3358</v>
      </c>
      <c r="AQ100">
        <v>2907615.6209999998</v>
      </c>
      <c r="AR100">
        <v>3036309.7858000002</v>
      </c>
      <c r="AS100">
        <v>2957784.5326999999</v>
      </c>
      <c r="AT100">
        <v>3223897.8903000001</v>
      </c>
      <c r="AU100">
        <v>3585986.5573</v>
      </c>
      <c r="AV100">
        <v>4046231.7905999999</v>
      </c>
      <c r="AW100">
        <v>4421407.9998000003</v>
      </c>
      <c r="AX100">
        <v>3808139.4407000002</v>
      </c>
      <c r="AY100">
        <v>4199215.6688000001</v>
      </c>
      <c r="AZ100">
        <v>2984383.1305</v>
      </c>
    </row>
    <row r="101" spans="1:52" x14ac:dyDescent="0.35">
      <c r="A101" t="s">
        <v>465</v>
      </c>
      <c r="B101" t="s">
        <v>478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52" x14ac:dyDescent="0.35">
      <c r="A102" t="s">
        <v>163</v>
      </c>
      <c r="B102" t="s">
        <v>345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3.531804878</v>
      </c>
      <c r="K102">
        <v>2.8069508196999999</v>
      </c>
      <c r="L102">
        <v>1.2218636364</v>
      </c>
      <c r="M102">
        <v>1.6615909091000001</v>
      </c>
      <c r="N102">
        <v>1.7000909091</v>
      </c>
      <c r="O102">
        <v>2.0187272727000001</v>
      </c>
      <c r="P102">
        <v>5.7445000000000004</v>
      </c>
      <c r="Q102">
        <v>7.7796451613000004</v>
      </c>
      <c r="R102">
        <v>11.597714285</v>
      </c>
      <c r="S102">
        <v>3.5878529412</v>
      </c>
      <c r="AJ102">
        <v>3123692.2080000001</v>
      </c>
      <c r="AK102">
        <v>3170105.04</v>
      </c>
      <c r="AL102">
        <v>3165263.892</v>
      </c>
      <c r="AM102">
        <v>3303973.08</v>
      </c>
      <c r="AN102">
        <v>3073189.5279999999</v>
      </c>
      <c r="AO102">
        <v>3058032.1680000001</v>
      </c>
      <c r="AP102">
        <v>3026404.3</v>
      </c>
      <c r="AQ102">
        <v>2971635.3360000001</v>
      </c>
      <c r="AR102">
        <v>2864816.84</v>
      </c>
      <c r="AS102">
        <v>2805210.1669999999</v>
      </c>
      <c r="AT102">
        <v>2854193.9720000001</v>
      </c>
      <c r="AU102">
        <v>2768992.02</v>
      </c>
      <c r="AV102">
        <v>3030550.66</v>
      </c>
      <c r="AW102">
        <v>2889357.3679999998</v>
      </c>
      <c r="AX102">
        <v>2848152.4679999999</v>
      </c>
      <c r="AY102">
        <v>3265422.4879999999</v>
      </c>
      <c r="AZ102">
        <v>2266369.8879999998</v>
      </c>
    </row>
    <row r="103" spans="1:52" x14ac:dyDescent="0.35">
      <c r="A103" t="s">
        <v>164</v>
      </c>
      <c r="B103" t="s">
        <v>346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4103.2529756000004</v>
      </c>
      <c r="K103">
        <v>3800.6860820000002</v>
      </c>
      <c r="L103">
        <v>3240.1106817999998</v>
      </c>
      <c r="M103">
        <v>3491.8010227</v>
      </c>
      <c r="N103">
        <v>3453.2293939000001</v>
      </c>
      <c r="O103">
        <v>3531.4716818000002</v>
      </c>
      <c r="P103">
        <v>4573.7500475999996</v>
      </c>
      <c r="Q103">
        <v>4661.2055968000004</v>
      </c>
      <c r="R103">
        <v>7247.7525714000003</v>
      </c>
      <c r="S103">
        <v>4704.1659411999999</v>
      </c>
      <c r="AJ103">
        <v>3123692.2080000001</v>
      </c>
      <c r="AK103">
        <v>3170105.04</v>
      </c>
      <c r="AL103">
        <v>3165263.892</v>
      </c>
      <c r="AM103">
        <v>3303973.08</v>
      </c>
      <c r="AN103">
        <v>3073189.5279999999</v>
      </c>
      <c r="AO103">
        <v>3058032.1680000001</v>
      </c>
      <c r="AP103">
        <v>3026404.3</v>
      </c>
      <c r="AQ103">
        <v>2971635.3360000001</v>
      </c>
      <c r="AR103">
        <v>2864816.84</v>
      </c>
      <c r="AS103">
        <v>2805210.1669999999</v>
      </c>
      <c r="AT103">
        <v>2854193.9720000001</v>
      </c>
      <c r="AU103">
        <v>2768992.02</v>
      </c>
      <c r="AV103">
        <v>3030550.66</v>
      </c>
      <c r="AW103">
        <v>2889357.3679999998</v>
      </c>
      <c r="AX103">
        <v>2848152.4679999999</v>
      </c>
      <c r="AY103">
        <v>3265422.4879999999</v>
      </c>
      <c r="AZ103">
        <v>2266369.8879999998</v>
      </c>
    </row>
    <row r="104" spans="1:52" x14ac:dyDescent="0.35">
      <c r="A104" t="s">
        <v>165</v>
      </c>
      <c r="B104" t="s">
        <v>347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21.774634146</v>
      </c>
      <c r="K104">
        <v>25.312278688999999</v>
      </c>
      <c r="L104">
        <v>16.52</v>
      </c>
      <c r="M104">
        <v>30.355863635999999</v>
      </c>
      <c r="N104">
        <v>25.526257575999999</v>
      </c>
      <c r="O104">
        <v>16.347136364000001</v>
      </c>
      <c r="P104">
        <v>24.233404761999999</v>
      </c>
      <c r="Q104">
        <v>22.681580645</v>
      </c>
      <c r="R104">
        <v>3.3779523810000001</v>
      </c>
      <c r="S104">
        <v>2.5838235294</v>
      </c>
      <c r="AJ104">
        <v>27830.537970000001</v>
      </c>
      <c r="AK104">
        <v>26643.683000000001</v>
      </c>
      <c r="AL104">
        <v>23737.099399999999</v>
      </c>
      <c r="AM104">
        <v>21775.155470000002</v>
      </c>
      <c r="AN104">
        <v>21532.940170000002</v>
      </c>
      <c r="AO104">
        <v>21799.377</v>
      </c>
      <c r="AP104">
        <v>21799.377</v>
      </c>
      <c r="AQ104">
        <v>26643.683000000001</v>
      </c>
      <c r="AR104">
        <v>28993.171409999999</v>
      </c>
      <c r="AS104">
        <v>33595.262110000003</v>
      </c>
      <c r="AT104">
        <v>52778.71387</v>
      </c>
      <c r="AU104">
        <v>53771.796600000001</v>
      </c>
      <c r="AV104">
        <v>41152.37947</v>
      </c>
      <c r="AW104">
        <v>36090.079700000002</v>
      </c>
      <c r="AX104">
        <v>35096.99697</v>
      </c>
      <c r="AY104">
        <v>36090.079700000002</v>
      </c>
      <c r="AZ104">
        <v>22744.016670000001</v>
      </c>
    </row>
    <row r="105" spans="1:52" x14ac:dyDescent="0.35">
      <c r="A105" t="s">
        <v>261</v>
      </c>
      <c r="B105" t="s">
        <v>442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1679.2860244000001</v>
      </c>
      <c r="K105">
        <v>1380.198459</v>
      </c>
      <c r="L105">
        <v>1005.0548636</v>
      </c>
      <c r="M105">
        <v>1473.7771364</v>
      </c>
      <c r="N105">
        <v>1384.4145758</v>
      </c>
      <c r="O105">
        <v>1398.4392273000001</v>
      </c>
      <c r="P105">
        <v>2536.4073570999999</v>
      </c>
      <c r="Q105">
        <v>2635.5821612999998</v>
      </c>
      <c r="R105">
        <v>2290.5166666999999</v>
      </c>
      <c r="S105">
        <v>5244.4585588</v>
      </c>
      <c r="AJ105">
        <v>1366301.8282000001</v>
      </c>
      <c r="AK105">
        <v>1313344.3929999999</v>
      </c>
      <c r="AL105">
        <v>1235673.4879999999</v>
      </c>
      <c r="AM105">
        <v>1232142.9923</v>
      </c>
      <c r="AN105">
        <v>1193307.5397999999</v>
      </c>
      <c r="AO105">
        <v>1295691.9146</v>
      </c>
      <c r="AP105">
        <v>1380423.8108999999</v>
      </c>
      <c r="AQ105">
        <v>1376893.3152000001</v>
      </c>
      <c r="AR105">
        <v>1352390.4953999999</v>
      </c>
      <c r="AS105">
        <v>1341797.3584</v>
      </c>
      <c r="AT105">
        <v>1599563.693</v>
      </c>
      <c r="AU105">
        <v>1634874.1498</v>
      </c>
      <c r="AV105">
        <v>1701964.0178</v>
      </c>
      <c r="AW105">
        <v>1987978.7178</v>
      </c>
      <c r="AX105">
        <v>1930563.6581999999</v>
      </c>
      <c r="AY105">
        <v>2074577.4794999999</v>
      </c>
      <c r="AZ105">
        <v>1865147.8943</v>
      </c>
    </row>
    <row r="106" spans="1:52" x14ac:dyDescent="0.35">
      <c r="A106" t="s">
        <v>166</v>
      </c>
      <c r="B106" t="s">
        <v>348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37332.857072999999</v>
      </c>
      <c r="K106">
        <v>36539.808311000001</v>
      </c>
      <c r="L106">
        <v>52730.808136</v>
      </c>
      <c r="M106">
        <v>46865.584636</v>
      </c>
      <c r="N106">
        <v>51238.759288000001</v>
      </c>
      <c r="O106">
        <v>61868.472954999997</v>
      </c>
      <c r="P106">
        <v>59810.373476000001</v>
      </c>
      <c r="Q106">
        <v>53335.425661000001</v>
      </c>
      <c r="R106">
        <v>51245.094904999998</v>
      </c>
      <c r="S106">
        <v>52125.262999999999</v>
      </c>
      <c r="AJ106">
        <v>8066225.7319999998</v>
      </c>
      <c r="AK106">
        <v>7173606.96</v>
      </c>
      <c r="AL106">
        <v>6569456.4496999998</v>
      </c>
      <c r="AM106">
        <v>6493257.2862999998</v>
      </c>
      <c r="AN106">
        <v>6036062.3054999998</v>
      </c>
      <c r="AO106">
        <v>6376681.0107000005</v>
      </c>
      <c r="AP106">
        <v>7079750.9682999998</v>
      </c>
      <c r="AQ106">
        <v>7003448.8024000004</v>
      </c>
      <c r="AR106">
        <v>7096101.4324000003</v>
      </c>
      <c r="AS106">
        <v>7924524.9483000003</v>
      </c>
      <c r="AT106">
        <v>8115280.3631999996</v>
      </c>
      <c r="AU106">
        <v>8796549.7019999996</v>
      </c>
      <c r="AV106">
        <v>7929975.1030999999</v>
      </c>
      <c r="AW106">
        <v>8747498.3094999995</v>
      </c>
      <c r="AX106">
        <v>8175232.0650000004</v>
      </c>
      <c r="AY106">
        <v>9058157.1280000005</v>
      </c>
      <c r="AZ106">
        <v>9861379.4131000005</v>
      </c>
    </row>
    <row r="107" spans="1:52" x14ac:dyDescent="0.35">
      <c r="A107" t="s">
        <v>167</v>
      </c>
      <c r="B107" t="s">
        <v>349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10403.384561000001</v>
      </c>
      <c r="K107">
        <v>10330.094147</v>
      </c>
      <c r="L107">
        <v>16986.169955000001</v>
      </c>
      <c r="M107">
        <v>14700.695089999999</v>
      </c>
      <c r="N107">
        <v>12730.633318</v>
      </c>
      <c r="O107">
        <v>8373.1632726999997</v>
      </c>
      <c r="P107">
        <v>9372</v>
      </c>
      <c r="Q107">
        <v>9422.4551935</v>
      </c>
      <c r="R107">
        <v>7315.2479047999996</v>
      </c>
      <c r="S107">
        <v>5807.5559706000004</v>
      </c>
      <c r="AJ107">
        <v>5826289.1200000001</v>
      </c>
      <c r="AK107">
        <v>5436445.7599999998</v>
      </c>
      <c r="AL107">
        <v>5473828</v>
      </c>
      <c r="AM107">
        <v>5804927.8399999999</v>
      </c>
      <c r="AN107">
        <v>6346970.3200000003</v>
      </c>
      <c r="AO107">
        <v>7233463.4400000004</v>
      </c>
      <c r="AP107">
        <v>7807547.8399999999</v>
      </c>
      <c r="AQ107">
        <v>7033201.4400000004</v>
      </c>
      <c r="AR107">
        <v>7297547.2800000003</v>
      </c>
      <c r="AS107">
        <v>6572833.5275999997</v>
      </c>
      <c r="AT107">
        <v>6461899.6283999998</v>
      </c>
      <c r="AU107">
        <v>6256677.5999999996</v>
      </c>
      <c r="AV107">
        <v>6364838.25</v>
      </c>
      <c r="AW107">
        <v>6961108.5</v>
      </c>
      <c r="AX107">
        <v>6697640.25</v>
      </c>
      <c r="AY107">
        <v>6739240.5</v>
      </c>
      <c r="AZ107">
        <v>6068089.7999999998</v>
      </c>
    </row>
    <row r="108" spans="1:52" x14ac:dyDescent="0.35">
      <c r="A108" t="s">
        <v>169</v>
      </c>
      <c r="B108" t="s">
        <v>351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11.39102439</v>
      </c>
      <c r="K108">
        <v>14.620868851999999</v>
      </c>
      <c r="L108">
        <v>11.589227272</v>
      </c>
      <c r="M108">
        <v>17.97475</v>
      </c>
      <c r="N108">
        <v>21.452439393999999</v>
      </c>
      <c r="O108">
        <v>5.8560909090999997</v>
      </c>
      <c r="P108">
        <v>19.487523809999999</v>
      </c>
      <c r="Q108">
        <v>29.466516128999999</v>
      </c>
      <c r="R108">
        <v>23.780857142999999</v>
      </c>
      <c r="S108">
        <v>8.1095294118000005</v>
      </c>
      <c r="AJ108">
        <v>2816630.0543</v>
      </c>
      <c r="AK108">
        <v>2889658.4597999998</v>
      </c>
      <c r="AL108">
        <v>2785781.8484999998</v>
      </c>
      <c r="AM108">
        <v>2754304.0874999999</v>
      </c>
      <c r="AN108">
        <v>2914840.6686</v>
      </c>
      <c r="AO108">
        <v>3084820.5780000002</v>
      </c>
      <c r="AP108">
        <v>3119760.8927000002</v>
      </c>
      <c r="AQ108">
        <v>3274631.4767999998</v>
      </c>
      <c r="AR108">
        <v>3298239.7976000002</v>
      </c>
      <c r="AS108">
        <v>3315237.7884999998</v>
      </c>
      <c r="AT108">
        <v>3274631.4767999998</v>
      </c>
      <c r="AU108">
        <v>3260466.4844</v>
      </c>
      <c r="AV108">
        <v>3241894.6053999998</v>
      </c>
      <c r="AW108">
        <v>3323107.2288000002</v>
      </c>
      <c r="AX108">
        <v>2958909.534</v>
      </c>
      <c r="AY108">
        <v>3270539.3679</v>
      </c>
      <c r="AZ108">
        <v>3292259.023</v>
      </c>
    </row>
    <row r="109" spans="1:52" x14ac:dyDescent="0.35">
      <c r="A109" t="s">
        <v>168</v>
      </c>
      <c r="B109" t="s">
        <v>350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12781.159243</v>
      </c>
      <c r="K109">
        <v>11574.337475</v>
      </c>
      <c r="L109">
        <v>4997.4333636000001</v>
      </c>
      <c r="M109">
        <v>4724.1642954999998</v>
      </c>
      <c r="N109">
        <v>5425.7652423999998</v>
      </c>
      <c r="O109">
        <v>5199.2814091</v>
      </c>
      <c r="P109">
        <v>4833.6656666999997</v>
      </c>
      <c r="Q109">
        <v>4131.6162096999997</v>
      </c>
      <c r="R109">
        <v>2341.0768570999999</v>
      </c>
      <c r="S109">
        <v>2152.8397940999998</v>
      </c>
      <c r="AJ109">
        <v>127855.42</v>
      </c>
      <c r="AK109">
        <v>122874.04</v>
      </c>
      <c r="AL109">
        <v>97967.14</v>
      </c>
      <c r="AM109">
        <v>116232.2</v>
      </c>
      <c r="AN109">
        <v>91325.3</v>
      </c>
      <c r="AO109">
        <v>305412.61</v>
      </c>
      <c r="AP109">
        <v>188360.2</v>
      </c>
      <c r="AQ109">
        <v>164142.46</v>
      </c>
      <c r="AR109">
        <v>140594.29999999999</v>
      </c>
      <c r="AS109">
        <v>104739.39</v>
      </c>
      <c r="AT109">
        <v>149326.63368</v>
      </c>
      <c r="AU109">
        <v>90619.199999999997</v>
      </c>
      <c r="AV109">
        <v>70866</v>
      </c>
      <c r="AW109">
        <v>55810</v>
      </c>
      <c r="AX109">
        <v>50910.6</v>
      </c>
      <c r="AY109">
        <v>99483.168900000004</v>
      </c>
      <c r="AZ109">
        <v>31474.269370000002</v>
      </c>
    </row>
    <row r="110" spans="1:52" x14ac:dyDescent="0.35">
      <c r="A110" t="s">
        <v>170</v>
      </c>
      <c r="B110" t="s">
        <v>352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191371.87517000001</v>
      </c>
      <c r="K110">
        <v>194422.41052</v>
      </c>
      <c r="L110">
        <v>155216.13709</v>
      </c>
      <c r="M110">
        <v>150570.26152</v>
      </c>
      <c r="N110">
        <v>145953.43286</v>
      </c>
      <c r="O110">
        <v>202180.14986</v>
      </c>
      <c r="P110">
        <v>190436.63735999999</v>
      </c>
      <c r="Q110">
        <v>193895.41425999999</v>
      </c>
      <c r="R110">
        <v>238684.07800000001</v>
      </c>
      <c r="S110">
        <v>205183.29702999999</v>
      </c>
      <c r="AJ110">
        <v>37839416.848999999</v>
      </c>
      <c r="AK110">
        <v>41695783.086999997</v>
      </c>
      <c r="AL110">
        <v>36187993.077</v>
      </c>
      <c r="AM110">
        <v>35353639.468999997</v>
      </c>
      <c r="AN110">
        <v>33310651.489</v>
      </c>
      <c r="AO110">
        <v>32240419.298999999</v>
      </c>
      <c r="AP110">
        <v>30179954.958000001</v>
      </c>
      <c r="AQ110">
        <v>30419947.157000002</v>
      </c>
      <c r="AR110">
        <v>30930615.140999999</v>
      </c>
      <c r="AS110">
        <v>32428854.870999999</v>
      </c>
      <c r="AT110">
        <v>32205211.052999999</v>
      </c>
      <c r="AU110">
        <v>31620355.123</v>
      </c>
      <c r="AV110">
        <v>35526672.129000001</v>
      </c>
      <c r="AW110">
        <v>36184542.372000001</v>
      </c>
      <c r="AX110">
        <v>38178481.586000003</v>
      </c>
      <c r="AY110">
        <v>41829341.774999999</v>
      </c>
      <c r="AZ110">
        <v>46072803.625</v>
      </c>
    </row>
    <row r="111" spans="1:52" x14ac:dyDescent="0.35">
      <c r="A111" t="s">
        <v>172</v>
      </c>
      <c r="B111" t="s">
        <v>354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57465.667390000002</v>
      </c>
      <c r="K111">
        <v>52192.979115000002</v>
      </c>
      <c r="L111">
        <v>43180.107817999997</v>
      </c>
      <c r="M111">
        <v>41980.673045000003</v>
      </c>
      <c r="N111">
        <v>38563.351893999999</v>
      </c>
      <c r="O111">
        <v>48670.406181999999</v>
      </c>
      <c r="P111">
        <v>52289.981929000001</v>
      </c>
      <c r="Q111">
        <v>57356.995016000001</v>
      </c>
      <c r="R111">
        <v>50339.219571000001</v>
      </c>
      <c r="S111">
        <v>40299.079734999999</v>
      </c>
      <c r="AJ111">
        <v>11513021.710000001</v>
      </c>
      <c r="AK111">
        <v>10932646.642000001</v>
      </c>
      <c r="AL111">
        <v>9434469.1393999998</v>
      </c>
      <c r="AM111">
        <v>10176809.343</v>
      </c>
      <c r="AN111">
        <v>9076796.1319999993</v>
      </c>
      <c r="AO111">
        <v>8838513.1611000001</v>
      </c>
      <c r="AP111">
        <v>10226938.6</v>
      </c>
      <c r="AQ111">
        <v>10159210.529999999</v>
      </c>
      <c r="AR111">
        <v>10707807.898</v>
      </c>
      <c r="AS111">
        <v>9752842.1087999996</v>
      </c>
      <c r="AT111">
        <v>11703410.529999999</v>
      </c>
      <c r="AU111">
        <v>12800605.267000001</v>
      </c>
      <c r="AV111">
        <v>12881878.952</v>
      </c>
      <c r="AW111">
        <v>13477885.969000001</v>
      </c>
      <c r="AX111">
        <v>12120161.26</v>
      </c>
      <c r="AY111">
        <v>14055187.005999999</v>
      </c>
      <c r="AZ111">
        <v>8652030.6005000006</v>
      </c>
    </row>
    <row r="112" spans="1:52" x14ac:dyDescent="0.35">
      <c r="A112" t="s">
        <v>175</v>
      </c>
      <c r="B112" t="s">
        <v>357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27975.318267999999</v>
      </c>
      <c r="K112">
        <v>27785.629851999998</v>
      </c>
      <c r="L112">
        <v>28082.107227</v>
      </c>
      <c r="M112">
        <v>29224.955386000001</v>
      </c>
      <c r="N112">
        <v>30541.072045000001</v>
      </c>
      <c r="O112">
        <v>24652.887136000001</v>
      </c>
      <c r="P112">
        <v>40143.214785999997</v>
      </c>
      <c r="Q112">
        <v>41152.710694000001</v>
      </c>
      <c r="R112">
        <v>44498.18</v>
      </c>
      <c r="S112">
        <v>19994.617824000001</v>
      </c>
      <c r="AJ112">
        <v>16742978.282</v>
      </c>
      <c r="AK112">
        <v>15419456.1</v>
      </c>
      <c r="AL112">
        <v>14366093.127</v>
      </c>
      <c r="AM112">
        <v>14995593.296</v>
      </c>
      <c r="AN112">
        <v>14343610.979</v>
      </c>
      <c r="AO112">
        <v>15225946.933</v>
      </c>
      <c r="AP112">
        <v>17292004.629999999</v>
      </c>
      <c r="AQ112">
        <v>17943261.947000001</v>
      </c>
      <c r="AR112">
        <v>18358601.827</v>
      </c>
      <c r="AS112">
        <v>16695766.41</v>
      </c>
      <c r="AT112">
        <v>16403646.675000001</v>
      </c>
      <c r="AU112">
        <v>15601532.964</v>
      </c>
      <c r="AV112">
        <v>14456672.272</v>
      </c>
      <c r="AW112">
        <v>11467196.153000001</v>
      </c>
      <c r="AX112">
        <v>10124160.24</v>
      </c>
      <c r="AY112">
        <v>11063229.057</v>
      </c>
      <c r="AZ112">
        <v>9094013.2679999992</v>
      </c>
    </row>
    <row r="113" spans="1:52" x14ac:dyDescent="0.35">
      <c r="A113" t="s">
        <v>171</v>
      </c>
      <c r="B113" t="s">
        <v>353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97069.130072999993</v>
      </c>
      <c r="K113">
        <v>90269.835984000005</v>
      </c>
      <c r="L113">
        <v>57581.719727000003</v>
      </c>
      <c r="M113">
        <v>55734.073273000002</v>
      </c>
      <c r="N113">
        <v>55943.050485</v>
      </c>
      <c r="O113">
        <v>67754.758182000005</v>
      </c>
      <c r="P113">
        <v>66299.511643000005</v>
      </c>
      <c r="Q113">
        <v>64210.529951999997</v>
      </c>
      <c r="R113">
        <v>104063.53509</v>
      </c>
      <c r="S113">
        <v>73460.832058999993</v>
      </c>
      <c r="AJ113">
        <v>10477780.384</v>
      </c>
      <c r="AK113">
        <v>11595236.419</v>
      </c>
      <c r="AL113">
        <v>10269671.405999999</v>
      </c>
      <c r="AM113">
        <v>10059909.221999999</v>
      </c>
      <c r="AN113">
        <v>9225720.0147999991</v>
      </c>
      <c r="AO113">
        <v>8963517.875</v>
      </c>
      <c r="AP113">
        <v>8451994.7238999996</v>
      </c>
      <c r="AQ113">
        <v>8384053.8737000003</v>
      </c>
      <c r="AR113">
        <v>8881095.0537</v>
      </c>
      <c r="AS113">
        <v>9456842.1420000009</v>
      </c>
      <c r="AT113">
        <v>9371248.0098000001</v>
      </c>
      <c r="AU113">
        <v>9460079.2541000005</v>
      </c>
      <c r="AV113">
        <v>11020197.366</v>
      </c>
      <c r="AW113">
        <v>10784719.363</v>
      </c>
      <c r="AX113">
        <v>11792710.897</v>
      </c>
      <c r="AY113">
        <v>12901566.314999999</v>
      </c>
      <c r="AZ113">
        <v>14111541.677999999</v>
      </c>
    </row>
    <row r="114" spans="1:52" x14ac:dyDescent="0.35">
      <c r="A114" t="s">
        <v>95</v>
      </c>
      <c r="B114" t="s">
        <v>279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23101.658858999999</v>
      </c>
      <c r="K114">
        <v>20536.831313999999</v>
      </c>
      <c r="L114">
        <v>20847.146803</v>
      </c>
      <c r="M114">
        <v>20561.073945</v>
      </c>
      <c r="N114">
        <v>21614.308077000002</v>
      </c>
      <c r="O114">
        <v>29742.689577000001</v>
      </c>
      <c r="P114">
        <v>34849.081471999998</v>
      </c>
      <c r="Q114">
        <v>32791.973527000002</v>
      </c>
      <c r="R114">
        <v>37587.836282999997</v>
      </c>
      <c r="S114">
        <v>39497.598614000002</v>
      </c>
    </row>
    <row r="115" spans="1:52" x14ac:dyDescent="0.35">
      <c r="A115" t="s">
        <v>174</v>
      </c>
      <c r="B115" t="s">
        <v>356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14094.573146000001</v>
      </c>
      <c r="K115">
        <v>14464.781573</v>
      </c>
      <c r="L115">
        <v>12676.817772</v>
      </c>
      <c r="M115">
        <v>12303.827363</v>
      </c>
      <c r="N115">
        <v>10905.512377999999</v>
      </c>
      <c r="O115">
        <v>26886.019182</v>
      </c>
      <c r="P115">
        <v>26678.097952</v>
      </c>
      <c r="Q115">
        <v>28585.431323000001</v>
      </c>
      <c r="R115">
        <v>16473.584857000002</v>
      </c>
      <c r="S115">
        <v>10785.610117</v>
      </c>
      <c r="AJ115">
        <v>4799491.2</v>
      </c>
      <c r="AK115">
        <v>4673188.8</v>
      </c>
      <c r="AL115">
        <v>4402540.8</v>
      </c>
      <c r="AM115">
        <v>5106225.5999999996</v>
      </c>
      <c r="AN115">
        <v>5043074.4000000004</v>
      </c>
      <c r="AO115">
        <v>4961880</v>
      </c>
      <c r="AP115">
        <v>5016009.5999999996</v>
      </c>
      <c r="AQ115">
        <v>4862642.4000000004</v>
      </c>
      <c r="AR115">
        <v>4961880</v>
      </c>
      <c r="AS115">
        <v>4573951.2</v>
      </c>
      <c r="AT115">
        <v>4898728.8</v>
      </c>
      <c r="AU115">
        <v>4700253.5999999996</v>
      </c>
      <c r="AV115">
        <v>4745361.5999999996</v>
      </c>
      <c r="AW115">
        <v>4447648.8</v>
      </c>
      <c r="AX115">
        <v>4149936</v>
      </c>
      <c r="AY115">
        <v>4474713.5999999996</v>
      </c>
      <c r="AZ115">
        <v>3265819.2</v>
      </c>
    </row>
    <row r="116" spans="1:52" x14ac:dyDescent="0.35">
      <c r="A116" t="s">
        <v>499</v>
      </c>
      <c r="B116" t="s">
        <v>500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11503.494511999999</v>
      </c>
      <c r="K116">
        <v>9681.1672295000008</v>
      </c>
      <c r="L116">
        <v>5904.1364090999996</v>
      </c>
      <c r="M116">
        <v>7089.1105908999998</v>
      </c>
      <c r="N116">
        <v>7805.0032121000004</v>
      </c>
      <c r="O116">
        <v>12327.33059</v>
      </c>
      <c r="P116">
        <v>14128.644738000001</v>
      </c>
      <c r="Q116">
        <v>20607.297274</v>
      </c>
      <c r="R116">
        <v>21420.109762</v>
      </c>
      <c r="S116">
        <v>9768.5331176</v>
      </c>
      <c r="AJ116">
        <v>4238186.2655999996</v>
      </c>
      <c r="AK116">
        <v>3479406.1568</v>
      </c>
      <c r="AL116">
        <v>3090032.1535999998</v>
      </c>
      <c r="AM116">
        <v>3314671.0016000001</v>
      </c>
      <c r="AN116">
        <v>3065072.2815999999</v>
      </c>
      <c r="AO116">
        <v>3159919.7952000001</v>
      </c>
      <c r="AP116">
        <v>4063467.1616000002</v>
      </c>
      <c r="AQ116">
        <v>4263146.1376</v>
      </c>
      <c r="AR116">
        <v>4268138.1119999997</v>
      </c>
      <c r="AS116">
        <v>3873772.1343999999</v>
      </c>
      <c r="AT116">
        <v>4727399.7567999996</v>
      </c>
      <c r="AU116">
        <v>4727399.7567999996</v>
      </c>
      <c r="AV116">
        <v>5056870.0672000004</v>
      </c>
      <c r="AW116">
        <v>5650915.0208000001</v>
      </c>
      <c r="AX116">
        <v>4435493.8639000002</v>
      </c>
      <c r="AY116">
        <v>4910546.7580000004</v>
      </c>
      <c r="AZ116">
        <v>3358801.7308999998</v>
      </c>
    </row>
    <row r="117" spans="1:52" x14ac:dyDescent="0.35">
      <c r="A117" t="s">
        <v>177</v>
      </c>
      <c r="B117" t="s">
        <v>359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198644.16183</v>
      </c>
      <c r="K117">
        <v>202346.03044</v>
      </c>
      <c r="L117">
        <v>142678.76035999999</v>
      </c>
      <c r="M117">
        <v>163204.29454999999</v>
      </c>
      <c r="N117">
        <v>160549.09726000001</v>
      </c>
      <c r="O117">
        <v>115560.41267999999</v>
      </c>
      <c r="P117">
        <v>222966.84202000001</v>
      </c>
      <c r="Q117">
        <v>193411.95895</v>
      </c>
      <c r="R117">
        <v>119690.50195000001</v>
      </c>
      <c r="S117">
        <v>59595.942618000001</v>
      </c>
      <c r="AJ117">
        <v>26380252.976</v>
      </c>
      <c r="AK117">
        <v>20234853.135000002</v>
      </c>
      <c r="AL117">
        <v>16546131.811000001</v>
      </c>
      <c r="AM117">
        <v>18178485.622000001</v>
      </c>
      <c r="AN117">
        <v>15655757.005000001</v>
      </c>
      <c r="AO117">
        <v>16397736.011</v>
      </c>
      <c r="AP117">
        <v>17213912.916000001</v>
      </c>
      <c r="AQ117">
        <v>21220599.543000001</v>
      </c>
      <c r="AR117">
        <v>18241242.316</v>
      </c>
      <c r="AS117">
        <v>16577997.426000001</v>
      </c>
      <c r="AT117">
        <v>20647007.245999999</v>
      </c>
      <c r="AU117">
        <v>17750104.232999999</v>
      </c>
      <c r="AV117">
        <v>15487399.175000001</v>
      </c>
      <c r="AW117">
        <v>6981212.5437000003</v>
      </c>
      <c r="AX117">
        <v>6992711.8735999996</v>
      </c>
      <c r="AY117">
        <v>6171436.1409999998</v>
      </c>
      <c r="AZ117">
        <v>3126078.5794000002</v>
      </c>
    </row>
    <row r="118" spans="1:52" x14ac:dyDescent="0.35">
      <c r="A118" t="s">
        <v>178</v>
      </c>
      <c r="B118" t="s">
        <v>360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1210.0542195</v>
      </c>
      <c r="K118">
        <v>1229.4204098</v>
      </c>
      <c r="L118">
        <v>1168.9872726999999</v>
      </c>
      <c r="M118">
        <v>1280.7352045</v>
      </c>
      <c r="N118">
        <v>1630.9104090999999</v>
      </c>
      <c r="O118">
        <v>2229.8102727</v>
      </c>
      <c r="P118">
        <v>1859.3732143</v>
      </c>
      <c r="Q118">
        <v>2062.1452419000002</v>
      </c>
      <c r="R118">
        <v>1584.9794285999999</v>
      </c>
      <c r="S118">
        <v>1554.4990882</v>
      </c>
      <c r="AJ118">
        <v>465114.02064</v>
      </c>
      <c r="AK118">
        <v>418808.42124</v>
      </c>
      <c r="AL118">
        <v>306645.96935999999</v>
      </c>
      <c r="AM118">
        <v>330313.27571999998</v>
      </c>
      <c r="AN118">
        <v>281949.64967999997</v>
      </c>
      <c r="AO118">
        <v>340603.40892000002</v>
      </c>
      <c r="AP118">
        <v>378676.90175999998</v>
      </c>
      <c r="AQ118">
        <v>359125.64867999998</v>
      </c>
      <c r="AR118">
        <v>361328.88050999999</v>
      </c>
      <c r="AS118">
        <v>346916.90237000003</v>
      </c>
      <c r="AT118">
        <v>465301.00851999997</v>
      </c>
      <c r="AU118">
        <v>483880.4301</v>
      </c>
      <c r="AV118">
        <v>481821.36443999998</v>
      </c>
      <c r="AW118">
        <v>473585.1018</v>
      </c>
      <c r="AX118">
        <v>354675.14088000002</v>
      </c>
      <c r="AY118">
        <v>359352.76392</v>
      </c>
      <c r="AZ118">
        <v>228629.13312000001</v>
      </c>
    </row>
    <row r="119" spans="1:52" x14ac:dyDescent="0.35">
      <c r="A119" t="s">
        <v>466</v>
      </c>
      <c r="B119" t="s">
        <v>479</v>
      </c>
      <c r="I119">
        <v>895.90509999999995</v>
      </c>
      <c r="J119">
        <v>437.02687804999999</v>
      </c>
      <c r="K119">
        <v>293.73937704999997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52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13864.384389999999</v>
      </c>
      <c r="K120">
        <v>12843.506426</v>
      </c>
      <c r="L120">
        <v>9445.1030909000001</v>
      </c>
      <c r="M120">
        <v>11706.32584</v>
      </c>
      <c r="N120">
        <v>10461.075833000001</v>
      </c>
      <c r="O120">
        <v>14634.483362999999</v>
      </c>
      <c r="P120">
        <v>13336.830094999999</v>
      </c>
      <c r="Q120">
        <v>13272.625435</v>
      </c>
      <c r="R120">
        <v>9970.5169523999994</v>
      </c>
      <c r="S120">
        <v>4388.8174117999997</v>
      </c>
      <c r="AJ120">
        <v>2395206.4500000002</v>
      </c>
      <c r="AK120">
        <v>2281149</v>
      </c>
      <c r="AL120">
        <v>2091053.25</v>
      </c>
      <c r="AM120">
        <v>2091053.25</v>
      </c>
      <c r="AN120">
        <v>1505558.34</v>
      </c>
      <c r="AO120">
        <v>1695654.09</v>
      </c>
      <c r="AP120">
        <v>2303960.4900000002</v>
      </c>
      <c r="AQ120">
        <v>4326017.9400000004</v>
      </c>
      <c r="AR120">
        <v>4897375.2</v>
      </c>
      <c r="AS120">
        <v>4829356.0999999996</v>
      </c>
      <c r="AT120">
        <v>4774940.82</v>
      </c>
      <c r="AU120">
        <v>4570883.5199999996</v>
      </c>
      <c r="AV120">
        <v>5319093.62</v>
      </c>
      <c r="AW120">
        <v>5183055.42</v>
      </c>
      <c r="AX120">
        <v>4992601.9400000004</v>
      </c>
      <c r="AY120">
        <v>5495943.2800000003</v>
      </c>
      <c r="AZ120">
        <v>4448449.1399999997</v>
      </c>
    </row>
    <row r="121" spans="1:52" x14ac:dyDescent="0.35">
      <c r="A121" t="s">
        <v>179</v>
      </c>
      <c r="B121" t="s">
        <v>361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72992.473463000002</v>
      </c>
      <c r="K121">
        <v>80376.444606999998</v>
      </c>
      <c r="L121">
        <v>66014.214726999999</v>
      </c>
      <c r="M121">
        <v>71576.062659000003</v>
      </c>
      <c r="N121">
        <v>64576.631606000003</v>
      </c>
      <c r="O121">
        <v>67837.974499999997</v>
      </c>
      <c r="P121">
        <v>61737.581714</v>
      </c>
      <c r="Q121">
        <v>63765.010710000002</v>
      </c>
      <c r="R121">
        <v>61981.522190000003</v>
      </c>
      <c r="S121">
        <v>59142.425765</v>
      </c>
      <c r="AJ121">
        <v>13982278.143999999</v>
      </c>
      <c r="AK121">
        <v>12349957.890000001</v>
      </c>
      <c r="AL121">
        <v>11445493.596000001</v>
      </c>
      <c r="AM121">
        <v>11641629.749</v>
      </c>
      <c r="AN121">
        <v>12052882.973999999</v>
      </c>
      <c r="AO121">
        <v>12237953.757999999</v>
      </c>
      <c r="AP121">
        <v>15239000.755999999</v>
      </c>
      <c r="AQ121">
        <v>16047703.947000001</v>
      </c>
      <c r="AR121">
        <v>17209595.421999998</v>
      </c>
      <c r="AS121">
        <v>16481716.248</v>
      </c>
      <c r="AT121">
        <v>15443697.252</v>
      </c>
      <c r="AU121">
        <v>14386749.202</v>
      </c>
      <c r="AV121">
        <v>16355195.75</v>
      </c>
      <c r="AW121">
        <v>16962819.122000001</v>
      </c>
      <c r="AX121">
        <v>14912384.742000001</v>
      </c>
      <c r="AY121">
        <v>15956758.037</v>
      </c>
      <c r="AZ121">
        <v>14769757.509</v>
      </c>
    </row>
    <row r="122" spans="1:52" x14ac:dyDescent="0.35">
      <c r="A122" t="s">
        <v>180</v>
      </c>
      <c r="B122" t="s">
        <v>362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57718.512243999998</v>
      </c>
      <c r="K122">
        <v>61232.598951</v>
      </c>
      <c r="L122">
        <v>50792.770090999999</v>
      </c>
      <c r="M122">
        <v>53591.436613999998</v>
      </c>
      <c r="N122">
        <v>52810.836711999997</v>
      </c>
      <c r="O122">
        <v>43428.638136000001</v>
      </c>
      <c r="P122">
        <v>47348.373856999999</v>
      </c>
      <c r="Q122">
        <v>53104.695660999998</v>
      </c>
      <c r="R122">
        <v>63848.541381000003</v>
      </c>
      <c r="S122">
        <v>47252.022676000001</v>
      </c>
      <c r="AJ122">
        <v>6166308.1968</v>
      </c>
      <c r="AK122">
        <v>5366664.8881999999</v>
      </c>
      <c r="AL122">
        <v>5071043.7467</v>
      </c>
      <c r="AM122">
        <v>5113060.3103999998</v>
      </c>
      <c r="AN122">
        <v>4873283.6098999996</v>
      </c>
      <c r="AO122">
        <v>5172420.9183</v>
      </c>
      <c r="AP122">
        <v>5707021.2392999995</v>
      </c>
      <c r="AQ122">
        <v>6233102.5888999999</v>
      </c>
      <c r="AR122">
        <v>6535596.1341000004</v>
      </c>
      <c r="AS122">
        <v>6258038.8596000001</v>
      </c>
      <c r="AT122">
        <v>6686613.8635999998</v>
      </c>
      <c r="AU122">
        <v>6911738.4835000001</v>
      </c>
      <c r="AV122">
        <v>6909743.5818999996</v>
      </c>
      <c r="AW122">
        <v>7398448.2412999999</v>
      </c>
      <c r="AX122">
        <v>7307020.8026000001</v>
      </c>
      <c r="AY122">
        <v>8103934.0297999997</v>
      </c>
      <c r="AZ122">
        <v>7216685.0164999999</v>
      </c>
    </row>
    <row r="123" spans="1:52" x14ac:dyDescent="0.35">
      <c r="A123" t="s">
        <v>181</v>
      </c>
      <c r="B123" t="s">
        <v>363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34750.488829000002</v>
      </c>
      <c r="K123">
        <v>35553.435474999998</v>
      </c>
      <c r="L123">
        <v>31055.970955000001</v>
      </c>
      <c r="M123">
        <v>28478.619455</v>
      </c>
      <c r="N123">
        <v>28281.908514999999</v>
      </c>
      <c r="O123">
        <v>25698.959590999999</v>
      </c>
      <c r="P123">
        <v>26048.347548000002</v>
      </c>
      <c r="Q123">
        <v>28830.589467999998</v>
      </c>
      <c r="R123">
        <v>19223.111142999998</v>
      </c>
      <c r="S123">
        <v>21951.997382000001</v>
      </c>
      <c r="AJ123">
        <v>6270476.6453999998</v>
      </c>
      <c r="AK123">
        <v>4979688.8720000004</v>
      </c>
      <c r="AL123">
        <v>4186272.7763999999</v>
      </c>
      <c r="AM123">
        <v>4743132.2224000003</v>
      </c>
      <c r="AN123">
        <v>4225580.5020000003</v>
      </c>
      <c r="AO123">
        <v>4192509.952</v>
      </c>
      <c r="AP123">
        <v>4634688.7359999996</v>
      </c>
      <c r="AQ123">
        <v>4814835.648</v>
      </c>
      <c r="AR123">
        <v>5222390.6294999998</v>
      </c>
      <c r="AS123">
        <v>4796741.2364999996</v>
      </c>
      <c r="AT123">
        <v>4063314.5901000001</v>
      </c>
      <c r="AU123">
        <v>3856207.8558</v>
      </c>
      <c r="AV123">
        <v>3915131.2355999998</v>
      </c>
      <c r="AW123">
        <v>4265397.9933000002</v>
      </c>
      <c r="AX123">
        <v>3799739.4920999999</v>
      </c>
      <c r="AY123">
        <v>4038655.0674000001</v>
      </c>
      <c r="AZ123">
        <v>4623492.9842999997</v>
      </c>
    </row>
    <row r="124" spans="1:52" x14ac:dyDescent="0.35">
      <c r="A124" t="s">
        <v>183</v>
      </c>
      <c r="B124" t="s">
        <v>365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61164.951902000001</v>
      </c>
      <c r="K124">
        <v>54939.014950999997</v>
      </c>
      <c r="L124">
        <v>26854.077727</v>
      </c>
      <c r="M124">
        <v>31667.156341000002</v>
      </c>
      <c r="N124">
        <v>31722.697121000001</v>
      </c>
      <c r="O124">
        <v>31810.293364000001</v>
      </c>
      <c r="P124">
        <v>35554.006286000003</v>
      </c>
      <c r="Q124">
        <v>37564.844806000001</v>
      </c>
      <c r="R124">
        <v>50729.144332999997</v>
      </c>
      <c r="S124">
        <v>25519.855324</v>
      </c>
      <c r="AJ124">
        <v>3547070.7226</v>
      </c>
      <c r="AK124">
        <v>3354739.9380999999</v>
      </c>
      <c r="AL124">
        <v>3474230.5531000001</v>
      </c>
      <c r="AM124">
        <v>4456345.1426999997</v>
      </c>
      <c r="AN124">
        <v>3858073.6460000002</v>
      </c>
      <c r="AO124">
        <v>4195266.3364000004</v>
      </c>
      <c r="AP124">
        <v>3914545.2374</v>
      </c>
      <c r="AQ124">
        <v>4023396.2757999999</v>
      </c>
      <c r="AR124">
        <v>3702572.1625999999</v>
      </c>
      <c r="AS124">
        <v>3738583.0325000002</v>
      </c>
      <c r="AT124">
        <v>3916182.0951</v>
      </c>
      <c r="AU124">
        <v>4010301.4139999999</v>
      </c>
      <c r="AV124">
        <v>4038127.9951999998</v>
      </c>
      <c r="AW124">
        <v>4112605.0214999998</v>
      </c>
      <c r="AX124">
        <v>4383148.9781999998</v>
      </c>
      <c r="AY124">
        <v>4721883.9550999999</v>
      </c>
      <c r="AZ124">
        <v>4086848.9289000002</v>
      </c>
    </row>
    <row r="125" spans="1:52" x14ac:dyDescent="0.35">
      <c r="A125" t="s">
        <v>184</v>
      </c>
      <c r="B125" t="s">
        <v>366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49235.633292999999</v>
      </c>
      <c r="K125">
        <v>45572.759393</v>
      </c>
      <c r="L125">
        <v>31288.378045000001</v>
      </c>
      <c r="M125">
        <v>39538.441545000001</v>
      </c>
      <c r="N125">
        <v>42188.029908999997</v>
      </c>
      <c r="O125">
        <v>59009.777409000002</v>
      </c>
      <c r="P125">
        <v>52235.444190000002</v>
      </c>
      <c r="Q125">
        <v>55187.366532</v>
      </c>
      <c r="R125">
        <v>52136.599238000003</v>
      </c>
      <c r="S125">
        <v>99428.095117999997</v>
      </c>
      <c r="AJ125">
        <v>17709243.863000002</v>
      </c>
      <c r="AK125">
        <v>17832518.596000001</v>
      </c>
      <c r="AL125">
        <v>17090279.059999999</v>
      </c>
      <c r="AM125">
        <v>17988482.896000002</v>
      </c>
      <c r="AN125">
        <v>17465666.488000002</v>
      </c>
      <c r="AO125">
        <v>17087321.390999999</v>
      </c>
      <c r="AP125">
        <v>17883009.206</v>
      </c>
      <c r="AQ125">
        <v>17623236.921999998</v>
      </c>
      <c r="AR125">
        <v>17112011.015999999</v>
      </c>
      <c r="AS125">
        <v>17048297.59</v>
      </c>
      <c r="AT125">
        <v>17175626.929000001</v>
      </c>
      <c r="AU125">
        <v>17969937.026999999</v>
      </c>
      <c r="AV125">
        <v>18063813.004999999</v>
      </c>
      <c r="AW125">
        <v>19675699.958999999</v>
      </c>
      <c r="AX125">
        <v>19811923.941</v>
      </c>
      <c r="AY125">
        <v>19862845.204</v>
      </c>
      <c r="AZ125">
        <v>18966079.471999999</v>
      </c>
    </row>
    <row r="126" spans="1:52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343490.85272999998</v>
      </c>
      <c r="K126">
        <v>322340.37641000003</v>
      </c>
      <c r="L126">
        <v>207266.40294999999</v>
      </c>
      <c r="M126">
        <v>232878.91118</v>
      </c>
      <c r="N126">
        <v>228042.92429</v>
      </c>
      <c r="O126">
        <v>233372.92368000001</v>
      </c>
      <c r="P126">
        <v>285518.94154999999</v>
      </c>
      <c r="Q126">
        <v>318541.39675999997</v>
      </c>
      <c r="R126">
        <v>427041.01652</v>
      </c>
      <c r="S126">
        <v>256565.72476000001</v>
      </c>
      <c r="AJ126">
        <v>109461887.5</v>
      </c>
      <c r="AK126">
        <v>101083123.66</v>
      </c>
      <c r="AL126">
        <v>96328202.329999998</v>
      </c>
      <c r="AM126">
        <v>104157924.88</v>
      </c>
      <c r="AN126">
        <v>96628374.261000007</v>
      </c>
      <c r="AO126">
        <v>103385444.90000001</v>
      </c>
      <c r="AP126">
        <v>116005836.90000001</v>
      </c>
      <c r="AQ126">
        <v>121669492.48999999</v>
      </c>
      <c r="AR126">
        <v>120281549.69</v>
      </c>
      <c r="AS126">
        <v>114273996.06999999</v>
      </c>
      <c r="AT126">
        <v>123141757.3</v>
      </c>
      <c r="AU126">
        <v>126450507.29000001</v>
      </c>
      <c r="AV126">
        <v>127786707.94</v>
      </c>
      <c r="AW126">
        <v>135228998.97999999</v>
      </c>
      <c r="AX126">
        <v>132143159.5</v>
      </c>
      <c r="AY126">
        <v>153647972.44</v>
      </c>
      <c r="AZ126">
        <v>139640399.86000001</v>
      </c>
    </row>
    <row r="127" spans="1:52" x14ac:dyDescent="0.35">
      <c r="A127" t="s">
        <v>185</v>
      </c>
      <c r="B127" t="s">
        <v>367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20524.779659</v>
      </c>
      <c r="K127">
        <v>19321.676787</v>
      </c>
      <c r="L127">
        <v>15215.96859</v>
      </c>
      <c r="M127">
        <v>18281.538522999999</v>
      </c>
      <c r="N127">
        <v>18656.844333000001</v>
      </c>
      <c r="O127">
        <v>17214.991136000001</v>
      </c>
      <c r="P127">
        <v>23166.650167</v>
      </c>
      <c r="Q127">
        <v>31253.922274</v>
      </c>
      <c r="R127">
        <v>43750.071237999997</v>
      </c>
      <c r="S127">
        <v>79406.946706000002</v>
      </c>
      <c r="AJ127">
        <v>318991217.95999998</v>
      </c>
      <c r="AK127">
        <v>298838801.75</v>
      </c>
      <c r="AL127">
        <v>281256876.98000002</v>
      </c>
      <c r="AM127">
        <v>311657669.51999998</v>
      </c>
      <c r="AN127">
        <v>295489741.56</v>
      </c>
      <c r="AO127">
        <v>318696102.22000003</v>
      </c>
      <c r="AP127">
        <v>359136774.60000002</v>
      </c>
      <c r="AQ127">
        <v>381486237.70999998</v>
      </c>
      <c r="AR127">
        <v>376869417.20999998</v>
      </c>
      <c r="AS127">
        <v>357359128.38999999</v>
      </c>
      <c r="AT127">
        <v>392631901.18000001</v>
      </c>
      <c r="AU127">
        <v>397243248.08999997</v>
      </c>
      <c r="AV127">
        <v>401888007.74000001</v>
      </c>
      <c r="AW127">
        <v>426725072.48000002</v>
      </c>
      <c r="AX127">
        <v>416196818.52999997</v>
      </c>
      <c r="AY127">
        <v>481507192.66000003</v>
      </c>
      <c r="AZ127">
        <v>438580595.47000003</v>
      </c>
    </row>
    <row r="128" spans="1:52" x14ac:dyDescent="0.35">
      <c r="A128" t="s">
        <v>186</v>
      </c>
      <c r="B128" t="s">
        <v>368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877819.70449000003</v>
      </c>
      <c r="K128">
        <v>831232.67746000004</v>
      </c>
      <c r="L128">
        <v>732156.13182000001</v>
      </c>
      <c r="M128">
        <v>805594.74922999996</v>
      </c>
      <c r="N128">
        <v>770072.03859000001</v>
      </c>
      <c r="O128">
        <v>624458.53272999998</v>
      </c>
      <c r="P128">
        <v>800785.29926</v>
      </c>
      <c r="Q128">
        <v>824163.30117999995</v>
      </c>
      <c r="R128">
        <v>1079916.9269000001</v>
      </c>
      <c r="S128">
        <v>882425.14125999995</v>
      </c>
      <c r="AJ128">
        <v>318991217.95999998</v>
      </c>
      <c r="AK128">
        <v>298838801.75</v>
      </c>
      <c r="AL128">
        <v>281256876.98000002</v>
      </c>
      <c r="AM128">
        <v>311657669.51999998</v>
      </c>
      <c r="AN128">
        <v>295489741.56</v>
      </c>
      <c r="AO128">
        <v>318696102.22000003</v>
      </c>
      <c r="AP128">
        <v>359136774.60000002</v>
      </c>
      <c r="AQ128">
        <v>381486237.70999998</v>
      </c>
      <c r="AR128">
        <v>376869417.20999998</v>
      </c>
      <c r="AS128">
        <v>357359128.38999999</v>
      </c>
      <c r="AT128">
        <v>392631901.18000001</v>
      </c>
      <c r="AU128">
        <v>397243248.08999997</v>
      </c>
      <c r="AV128">
        <v>401888007.74000001</v>
      </c>
      <c r="AW128">
        <v>426725072.48000002</v>
      </c>
      <c r="AX128">
        <v>416196818.52999997</v>
      </c>
      <c r="AY128">
        <v>481507192.66000003</v>
      </c>
      <c r="AZ128">
        <v>438580595.47000003</v>
      </c>
    </row>
    <row r="129" spans="1:52" x14ac:dyDescent="0.35">
      <c r="A129" t="s">
        <v>187</v>
      </c>
      <c r="B129" t="s">
        <v>369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2002.7820732</v>
      </c>
      <c r="K129">
        <v>2041.6443279</v>
      </c>
      <c r="L129">
        <v>2407.9966817999998</v>
      </c>
      <c r="M129">
        <v>2781.1624772999999</v>
      </c>
      <c r="N129">
        <v>2706.1605</v>
      </c>
      <c r="O129">
        <v>3593.1179090999999</v>
      </c>
      <c r="P129">
        <v>3270.3658571000001</v>
      </c>
      <c r="Q129">
        <v>3158.2225644999999</v>
      </c>
      <c r="R129">
        <v>3646.8215237999998</v>
      </c>
      <c r="S129">
        <v>2252.9957940999998</v>
      </c>
      <c r="AJ129">
        <v>1830394.3204999999</v>
      </c>
      <c r="AK129">
        <v>1559001.4228999999</v>
      </c>
      <c r="AL129">
        <v>1399181.1610000001</v>
      </c>
      <c r="AM129">
        <v>1429335.9273999999</v>
      </c>
      <c r="AN129">
        <v>1236345.4224</v>
      </c>
      <c r="AO129">
        <v>1209206.1325999999</v>
      </c>
      <c r="AP129">
        <v>1206190.656</v>
      </c>
      <c r="AQ129">
        <v>1236345.4224</v>
      </c>
      <c r="AR129">
        <v>1160958.5064000001</v>
      </c>
      <c r="AS129">
        <v>1022246.5808999999</v>
      </c>
      <c r="AT129">
        <v>895596.56207999995</v>
      </c>
      <c r="AU129">
        <v>826240.59935999999</v>
      </c>
      <c r="AV129">
        <v>826240.59935999999</v>
      </c>
      <c r="AW129">
        <v>883534.65552000003</v>
      </c>
      <c r="AX129">
        <v>835287.02928000002</v>
      </c>
      <c r="AY129">
        <v>886550.13216000004</v>
      </c>
      <c r="AZ129">
        <v>591033.42143999995</v>
      </c>
    </row>
    <row r="130" spans="1:52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560820.58646000002</v>
      </c>
      <c r="K130">
        <v>488076.07192000002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AJ130">
        <v>79874370.483999997</v>
      </c>
      <c r="AK130">
        <v>82780102.928000003</v>
      </c>
      <c r="AL130">
        <v>80517624.231000006</v>
      </c>
      <c r="AM130">
        <v>77678435.277999997</v>
      </c>
      <c r="AN130">
        <v>68739426.305999994</v>
      </c>
      <c r="AO130">
        <v>91186763.971000001</v>
      </c>
      <c r="AP130">
        <v>97774569.590000004</v>
      </c>
      <c r="AQ130">
        <v>88990828.763999999</v>
      </c>
      <c r="AR130">
        <v>86573081.921000004</v>
      </c>
    </row>
    <row r="131" spans="1:52" x14ac:dyDescent="0.35">
      <c r="A131" t="s">
        <v>188</v>
      </c>
      <c r="B131" t="s">
        <v>370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21574.387462999999</v>
      </c>
      <c r="K131">
        <v>19237.975246000002</v>
      </c>
      <c r="L131">
        <v>12320.560681000001</v>
      </c>
      <c r="M131">
        <v>13617.901454000001</v>
      </c>
      <c r="N131">
        <v>20042.007030000001</v>
      </c>
      <c r="O131">
        <v>18610.026454999999</v>
      </c>
      <c r="P131">
        <v>21795.801810000001</v>
      </c>
      <c r="Q131">
        <v>24517.076806000001</v>
      </c>
      <c r="R131">
        <v>43749.094333000001</v>
      </c>
      <c r="S131">
        <v>35304.216205999997</v>
      </c>
      <c r="AJ131">
        <v>3001407.5392</v>
      </c>
      <c r="AK131">
        <v>2920288.4164999998</v>
      </c>
      <c r="AL131">
        <v>2473029.5761000002</v>
      </c>
      <c r="AM131">
        <v>2709521.4753999999</v>
      </c>
      <c r="AN131">
        <v>2412559.8673999999</v>
      </c>
      <c r="AO131">
        <v>2798008.4166999999</v>
      </c>
      <c r="AP131">
        <v>3433919.4205</v>
      </c>
      <c r="AQ131">
        <v>3581183.0214</v>
      </c>
      <c r="AR131">
        <v>3563447.7403000002</v>
      </c>
      <c r="AS131">
        <v>3509962.5959999999</v>
      </c>
      <c r="AT131">
        <v>3789911.736</v>
      </c>
      <c r="AU131">
        <v>4310823.8618999999</v>
      </c>
      <c r="AV131">
        <v>4390777.3184000002</v>
      </c>
      <c r="AW131">
        <v>5089525.0932999998</v>
      </c>
      <c r="AX131">
        <v>5283590.9156999998</v>
      </c>
      <c r="AY131">
        <v>6386201.0898000002</v>
      </c>
      <c r="AZ131">
        <v>6846202.9134999998</v>
      </c>
    </row>
    <row r="132" spans="1:52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3576.3416828999998</v>
      </c>
      <c r="K132">
        <v>3662.4860328</v>
      </c>
      <c r="L132">
        <v>2184.0303181999998</v>
      </c>
      <c r="M132">
        <v>2645.5786818000001</v>
      </c>
      <c r="N132">
        <v>2740.6071514999999</v>
      </c>
      <c r="O132">
        <v>3880.8167727</v>
      </c>
      <c r="P132">
        <v>4444.5447856999999</v>
      </c>
      <c r="Q132">
        <v>6107.6060968000002</v>
      </c>
      <c r="R132">
        <v>6989.7412381000004</v>
      </c>
      <c r="S132">
        <v>4578.7587941000002</v>
      </c>
      <c r="AJ132">
        <v>2262162.324</v>
      </c>
      <c r="AK132">
        <v>1929240.3215999999</v>
      </c>
      <c r="AL132">
        <v>1539224.5595</v>
      </c>
      <c r="AM132">
        <v>1630269.2653999999</v>
      </c>
      <c r="AN132">
        <v>1533534.2653000001</v>
      </c>
      <c r="AO132">
        <v>1436311.4353</v>
      </c>
      <c r="AP132">
        <v>1916978.0344</v>
      </c>
      <c r="AQ132">
        <v>1769080.6192999999</v>
      </c>
      <c r="AR132">
        <v>1720810.0547</v>
      </c>
      <c r="AS132">
        <v>1521708.0649000001</v>
      </c>
      <c r="AT132">
        <v>1615570.4314999999</v>
      </c>
      <c r="AU132">
        <v>1806139.4789</v>
      </c>
      <c r="AV132">
        <v>1535929.6355999999</v>
      </c>
      <c r="AW132">
        <v>1914223.4162000001</v>
      </c>
      <c r="AX132">
        <v>1726580.8222000001</v>
      </c>
      <c r="AY132">
        <v>2119114.8476999998</v>
      </c>
      <c r="AZ132">
        <v>1429698.2742000001</v>
      </c>
    </row>
    <row r="133" spans="1:52" x14ac:dyDescent="0.35">
      <c r="A133" t="s">
        <v>189</v>
      </c>
      <c r="B133" t="s">
        <v>371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13297.967000000001</v>
      </c>
      <c r="K133">
        <v>11798.043294999999</v>
      </c>
      <c r="L133">
        <v>8483.0018636000004</v>
      </c>
      <c r="M133">
        <v>9003.3868636000007</v>
      </c>
      <c r="N133">
        <v>8738.1372878999991</v>
      </c>
      <c r="O133">
        <v>10940.207818000001</v>
      </c>
      <c r="P133">
        <v>23009.741451999998</v>
      </c>
      <c r="Q133">
        <v>21869.048193999999</v>
      </c>
      <c r="R133">
        <v>21790.296524000001</v>
      </c>
      <c r="S133">
        <v>5601.0427940999998</v>
      </c>
      <c r="AJ133">
        <v>1768840.5</v>
      </c>
      <c r="AK133">
        <v>1714816.8</v>
      </c>
      <c r="AL133">
        <v>1614046.77</v>
      </c>
      <c r="AM133">
        <v>1790881.11</v>
      </c>
      <c r="AN133">
        <v>1357463.61</v>
      </c>
      <c r="AO133">
        <v>1328965.56</v>
      </c>
      <c r="AP133">
        <v>1299510</v>
      </c>
      <c r="AQ133">
        <v>1406936.16</v>
      </c>
      <c r="AR133">
        <v>1410922.48</v>
      </c>
      <c r="AS133">
        <v>1218523.96</v>
      </c>
      <c r="AT133">
        <v>1379722.72</v>
      </c>
      <c r="AU133">
        <v>1268790.24</v>
      </c>
      <c r="AV133">
        <v>1603321</v>
      </c>
      <c r="AW133">
        <v>1686520.36</v>
      </c>
      <c r="AX133">
        <v>1705586.88</v>
      </c>
      <c r="AY133">
        <v>1774919.6799999999</v>
      </c>
      <c r="AZ133">
        <v>1017024.46</v>
      </c>
    </row>
    <row r="134" spans="1:52" x14ac:dyDescent="0.35">
      <c r="A134" t="s">
        <v>190</v>
      </c>
      <c r="B134" t="s">
        <v>372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107071.53856</v>
      </c>
      <c r="K134">
        <v>104291.36031</v>
      </c>
      <c r="L134">
        <v>81013.121954999995</v>
      </c>
      <c r="M134">
        <v>78471.174045000007</v>
      </c>
      <c r="N134">
        <v>84111.397333000001</v>
      </c>
      <c r="O134">
        <v>98412.383455000003</v>
      </c>
      <c r="P134">
        <v>94303.721548000001</v>
      </c>
      <c r="Q134">
        <v>103651.39801</v>
      </c>
      <c r="R134">
        <v>99908.293571000002</v>
      </c>
      <c r="S134">
        <v>82132.150234999994</v>
      </c>
      <c r="AJ134">
        <v>25373574.884</v>
      </c>
      <c r="AK134">
        <v>26953411.425000001</v>
      </c>
      <c r="AL134">
        <v>28766434.526000001</v>
      </c>
      <c r="AM134">
        <v>28044222.563999999</v>
      </c>
      <c r="AN134">
        <v>24293635.318999998</v>
      </c>
      <c r="AO134">
        <v>23024269.171</v>
      </c>
      <c r="AP134">
        <v>22576021.607000001</v>
      </c>
      <c r="AQ134">
        <v>22606021.658</v>
      </c>
      <c r="AR134">
        <v>22550976.988000002</v>
      </c>
      <c r="AS134">
        <v>22703208.083999999</v>
      </c>
      <c r="AT134">
        <v>22506327.094000001</v>
      </c>
      <c r="AU134">
        <v>21860802.611000001</v>
      </c>
      <c r="AV134">
        <v>21853482.324999999</v>
      </c>
      <c r="AW134">
        <v>21625863.837000001</v>
      </c>
      <c r="AX134">
        <v>23183787.629999999</v>
      </c>
      <c r="AY134">
        <v>23621396.510000002</v>
      </c>
      <c r="AZ134">
        <v>21426722.859999999</v>
      </c>
    </row>
    <row r="135" spans="1:52" x14ac:dyDescent="0.35">
      <c r="A135" t="s">
        <v>467</v>
      </c>
      <c r="B135" t="s">
        <v>480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20.199707317000001</v>
      </c>
      <c r="K135">
        <v>13.576852458999999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AJ135">
        <v>407591.73</v>
      </c>
      <c r="AK135">
        <v>462193.641</v>
      </c>
      <c r="AL135">
        <v>630618.89260000002</v>
      </c>
      <c r="AM135">
        <v>653690.31550000003</v>
      </c>
      <c r="AN135">
        <v>671378.40639000002</v>
      </c>
      <c r="AO135">
        <v>678294.16200000001</v>
      </c>
      <c r="AP135">
        <v>682139.36699999997</v>
      </c>
    </row>
    <row r="136" spans="1:52" x14ac:dyDescent="0.35">
      <c r="A136" t="s">
        <v>191</v>
      </c>
      <c r="B136" t="s">
        <v>373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8796.9317804999991</v>
      </c>
      <c r="K136">
        <v>7889.8201967000005</v>
      </c>
      <c r="L136">
        <v>5153.0941818000001</v>
      </c>
      <c r="M136">
        <v>5192.7724773</v>
      </c>
      <c r="N136">
        <v>6628.9435303</v>
      </c>
      <c r="O136">
        <v>8374.0643182000003</v>
      </c>
      <c r="P136">
        <v>7786.5546189999995</v>
      </c>
      <c r="Q136">
        <v>8099.1621936000001</v>
      </c>
      <c r="R136">
        <v>10311.676332999999</v>
      </c>
      <c r="S136">
        <v>5596.7029118</v>
      </c>
      <c r="AJ136">
        <v>1657283.3049999999</v>
      </c>
      <c r="AK136">
        <v>1575200.8770999999</v>
      </c>
      <c r="AL136">
        <v>1463803.2964999999</v>
      </c>
      <c r="AM136">
        <v>1665100.679</v>
      </c>
      <c r="AN136">
        <v>1680735.4272</v>
      </c>
      <c r="AO136">
        <v>1807767.7560000001</v>
      </c>
      <c r="AP136">
        <v>2040334.6348999999</v>
      </c>
      <c r="AQ136">
        <v>2267038.4832000001</v>
      </c>
      <c r="AR136">
        <v>2435112.0258999998</v>
      </c>
      <c r="AS136">
        <v>2411659.9037000001</v>
      </c>
      <c r="AT136">
        <v>2523057.4843000001</v>
      </c>
      <c r="AU136">
        <v>2915880.5318</v>
      </c>
      <c r="AV136">
        <v>2921743.5624000002</v>
      </c>
      <c r="AW136">
        <v>3201214.6858000001</v>
      </c>
      <c r="AX136">
        <v>3123040.9449999998</v>
      </c>
      <c r="AY136">
        <v>3496320.5573</v>
      </c>
      <c r="AZ136">
        <v>1846854.6264</v>
      </c>
    </row>
    <row r="137" spans="1:52" x14ac:dyDescent="0.35">
      <c r="A137" t="s">
        <v>204</v>
      </c>
      <c r="B137" t="s">
        <v>386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11829.379951000001</v>
      </c>
      <c r="K137">
        <v>10305.322114000001</v>
      </c>
      <c r="L137">
        <v>6227.8403636000003</v>
      </c>
      <c r="M137">
        <v>6567.9411590999998</v>
      </c>
      <c r="N137">
        <v>6763.8827424000001</v>
      </c>
      <c r="O137">
        <v>7701.5940455</v>
      </c>
      <c r="P137">
        <v>11115.755714000001</v>
      </c>
      <c r="Q137">
        <v>10572.533337999999</v>
      </c>
      <c r="R137">
        <v>11462.820094999999</v>
      </c>
      <c r="S137">
        <v>8061.4378528999996</v>
      </c>
      <c r="AJ137">
        <v>4058037.66</v>
      </c>
      <c r="AK137">
        <v>3677173.07</v>
      </c>
      <c r="AL137">
        <v>3721900.94</v>
      </c>
      <c r="AM137">
        <v>3896746.25</v>
      </c>
      <c r="AN137">
        <v>3742231.79</v>
      </c>
      <c r="AO137">
        <v>3846596.82</v>
      </c>
      <c r="AP137">
        <v>4014665.18</v>
      </c>
      <c r="AQ137">
        <v>4350801.9000000004</v>
      </c>
      <c r="AR137">
        <v>4094633.19</v>
      </c>
      <c r="AS137">
        <v>3864216.89</v>
      </c>
      <c r="AT137">
        <v>3792381.22</v>
      </c>
      <c r="AU137">
        <v>3701570.09</v>
      </c>
      <c r="AV137">
        <v>4043128.37</v>
      </c>
      <c r="AW137">
        <v>4491762.46</v>
      </c>
      <c r="AX137">
        <v>4623235.29</v>
      </c>
      <c r="AY137">
        <v>4657120.04</v>
      </c>
      <c r="AZ137">
        <v>4441613.03</v>
      </c>
    </row>
    <row r="138" spans="1:52" x14ac:dyDescent="0.35">
      <c r="A138" t="s">
        <v>468</v>
      </c>
      <c r="B138" t="s">
        <v>481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52" x14ac:dyDescent="0.35">
      <c r="A139" t="s">
        <v>229</v>
      </c>
      <c r="B139" t="s">
        <v>410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9245.0470731999994</v>
      </c>
      <c r="K139">
        <v>8165.2512131000003</v>
      </c>
      <c r="L139">
        <v>3885.1142727000001</v>
      </c>
      <c r="M139">
        <v>4348.1526818000002</v>
      </c>
      <c r="N139">
        <v>5167.0787424</v>
      </c>
      <c r="O139">
        <v>6413.8404545000003</v>
      </c>
      <c r="P139">
        <v>6117.8188571000001</v>
      </c>
      <c r="Q139">
        <v>5908.0526935999997</v>
      </c>
      <c r="R139">
        <v>6004.3153333</v>
      </c>
      <c r="S139">
        <v>2413.0038823999998</v>
      </c>
      <c r="AJ139">
        <v>561810.24</v>
      </c>
      <c r="AK139">
        <v>507189.8</v>
      </c>
      <c r="AL139">
        <v>421357.68</v>
      </c>
      <c r="AM139">
        <v>454520.09</v>
      </c>
      <c r="AN139">
        <v>421357.68</v>
      </c>
      <c r="AO139">
        <v>560745.06999999995</v>
      </c>
      <c r="AP139">
        <v>571090.92000000004</v>
      </c>
      <c r="AQ139">
        <v>595920.96</v>
      </c>
      <c r="AR139">
        <v>544191.71</v>
      </c>
      <c r="AS139">
        <v>519361.67</v>
      </c>
      <c r="AT139">
        <v>531776.68999999994</v>
      </c>
      <c r="AU139">
        <v>469701.59</v>
      </c>
      <c r="AV139">
        <v>434525.7</v>
      </c>
      <c r="AW139">
        <v>465563.25</v>
      </c>
      <c r="AX139">
        <v>457286.57</v>
      </c>
      <c r="AY139">
        <v>523500.01</v>
      </c>
      <c r="AZ139">
        <v>198640.32</v>
      </c>
    </row>
    <row r="140" spans="1:52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4910.9757073000001</v>
      </c>
      <c r="K140">
        <v>4816.4653279000004</v>
      </c>
      <c r="L140">
        <v>4591.1965909</v>
      </c>
      <c r="M140">
        <v>5646.3175000000001</v>
      </c>
      <c r="N140">
        <v>6134.7205000000004</v>
      </c>
      <c r="O140">
        <v>6084.7962727000004</v>
      </c>
      <c r="P140">
        <v>8999.8037143000001</v>
      </c>
      <c r="Q140">
        <v>9861.3675968000007</v>
      </c>
      <c r="R140">
        <v>10057.319809000001</v>
      </c>
      <c r="S140">
        <v>10427.524294000001</v>
      </c>
      <c r="AJ140">
        <v>1987370.58</v>
      </c>
      <c r="AK140">
        <v>1774751.8</v>
      </c>
      <c r="AL140">
        <v>1567428.31</v>
      </c>
      <c r="AM140">
        <v>1594407.92</v>
      </c>
      <c r="AN140">
        <v>1593537.61</v>
      </c>
      <c r="AO140">
        <v>1586319.91</v>
      </c>
      <c r="AP140">
        <v>1827357</v>
      </c>
      <c r="AQ140">
        <v>1839539.38</v>
      </c>
      <c r="AR140">
        <v>1822629.05</v>
      </c>
      <c r="AS140">
        <v>1805229.25</v>
      </c>
      <c r="AT140">
        <v>1840028.85</v>
      </c>
      <c r="AU140">
        <v>2044476.5</v>
      </c>
      <c r="AV140">
        <v>2061876.3</v>
      </c>
      <c r="AW140">
        <v>2224564.4300000002</v>
      </c>
      <c r="AX140">
        <v>2115685</v>
      </c>
      <c r="AY140">
        <v>2432163.5</v>
      </c>
      <c r="AZ140">
        <v>2087216.67</v>
      </c>
    </row>
    <row r="141" spans="1:52" x14ac:dyDescent="0.35">
      <c r="A141" t="s">
        <v>193</v>
      </c>
      <c r="B141" t="s">
        <v>375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433.52585366</v>
      </c>
      <c r="K141">
        <v>395.15295082</v>
      </c>
      <c r="L141">
        <v>465.46281818</v>
      </c>
      <c r="M141">
        <v>380.18045454999998</v>
      </c>
      <c r="N141">
        <v>464.57499999999999</v>
      </c>
      <c r="O141">
        <v>934.82440909000002</v>
      </c>
      <c r="P141">
        <v>988.67873810000003</v>
      </c>
      <c r="Q141">
        <v>1177.1149355</v>
      </c>
      <c r="R141">
        <v>1056.8618571</v>
      </c>
      <c r="S141">
        <v>425.12029411999998</v>
      </c>
      <c r="AJ141">
        <v>2803898.281</v>
      </c>
      <c r="AK141">
        <v>2117510.7714</v>
      </c>
      <c r="AL141">
        <v>2198137.4341000002</v>
      </c>
      <c r="AM141">
        <v>2185406.9084000001</v>
      </c>
      <c r="AN141">
        <v>2307407.7795000002</v>
      </c>
      <c r="AO141">
        <v>2233146.3796999999</v>
      </c>
      <c r="AP141">
        <v>2367877.7765000002</v>
      </c>
      <c r="AQ141">
        <v>2710541.0926999999</v>
      </c>
      <c r="AR141">
        <v>2808141.7895999998</v>
      </c>
      <c r="AS141">
        <v>2652192.85</v>
      </c>
      <c r="AT141">
        <v>2546105.1359999999</v>
      </c>
      <c r="AU141">
        <v>2874977.0493999999</v>
      </c>
      <c r="AV141">
        <v>3500894.5619999999</v>
      </c>
      <c r="AW141">
        <v>4137420.8459999999</v>
      </c>
      <c r="AX141">
        <v>3584703.8561</v>
      </c>
      <c r="AY141">
        <v>3447850.7050000001</v>
      </c>
      <c r="AZ141">
        <v>2970455.9920000001</v>
      </c>
    </row>
    <row r="142" spans="1:52" x14ac:dyDescent="0.35">
      <c r="A142" t="s">
        <v>194</v>
      </c>
      <c r="B142" t="s">
        <v>376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241.6402439</v>
      </c>
      <c r="K142">
        <v>199.81729508000001</v>
      </c>
      <c r="L142">
        <v>170.41104544999999</v>
      </c>
      <c r="M142">
        <v>182.48161364000001</v>
      </c>
      <c r="N142">
        <v>190.05574242</v>
      </c>
      <c r="O142">
        <v>166.59731818</v>
      </c>
      <c r="P142">
        <v>296.63828570999999</v>
      </c>
      <c r="Q142">
        <v>388.83746774000002</v>
      </c>
      <c r="R142">
        <v>514.77447618999997</v>
      </c>
      <c r="S142">
        <v>149.45455881999999</v>
      </c>
      <c r="AJ142">
        <v>221033.68</v>
      </c>
      <c r="AK142">
        <v>226525.2</v>
      </c>
      <c r="AL142">
        <v>205932</v>
      </c>
      <c r="AM142">
        <v>189457.44</v>
      </c>
      <c r="AN142">
        <v>160626.96</v>
      </c>
      <c r="AO142">
        <v>196321.84</v>
      </c>
      <c r="AP142">
        <v>189457.44</v>
      </c>
      <c r="AQ142">
        <v>240254</v>
      </c>
      <c r="AR142">
        <v>219660.79999999999</v>
      </c>
      <c r="AS142">
        <v>193576.08</v>
      </c>
      <c r="AT142">
        <v>215542.16</v>
      </c>
      <c r="AU142">
        <v>183965.92</v>
      </c>
      <c r="AV142">
        <v>182593.04</v>
      </c>
      <c r="AW142">
        <v>286931.92</v>
      </c>
      <c r="AX142">
        <v>238881.12</v>
      </c>
      <c r="AY142">
        <v>240254</v>
      </c>
      <c r="AZ142">
        <v>178474.4</v>
      </c>
    </row>
    <row r="143" spans="1:52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252923.68401999999</v>
      </c>
      <c r="K143">
        <v>239788.86629999999</v>
      </c>
      <c r="L143">
        <v>253781.76514</v>
      </c>
      <c r="M143">
        <v>252782.22255000001</v>
      </c>
      <c r="N143">
        <v>246723.08324000001</v>
      </c>
      <c r="O143">
        <v>205981.74635999999</v>
      </c>
      <c r="P143">
        <v>238563.9615</v>
      </c>
      <c r="Q143">
        <v>262637.98966000002</v>
      </c>
      <c r="R143">
        <v>216133.93299999999</v>
      </c>
      <c r="S143">
        <v>204350.47362</v>
      </c>
      <c r="AJ143">
        <v>17755148.399999999</v>
      </c>
      <c r="AK143">
        <v>14399167.199999999</v>
      </c>
      <c r="AL143">
        <v>12746991.84</v>
      </c>
      <c r="AM143">
        <v>14619074.800000001</v>
      </c>
      <c r="AN143">
        <v>11916123.560000001</v>
      </c>
      <c r="AO143">
        <v>12349059.050000001</v>
      </c>
      <c r="AP143">
        <v>14752228.35</v>
      </c>
      <c r="AQ143">
        <v>18336787.600000001</v>
      </c>
      <c r="AR143">
        <v>19690135.199999999</v>
      </c>
      <c r="AS143">
        <v>16768631.4</v>
      </c>
      <c r="AT143">
        <v>16268373.9</v>
      </c>
      <c r="AU143">
        <v>14944914.710000001</v>
      </c>
      <c r="AV143">
        <v>14658462.279999999</v>
      </c>
      <c r="AW143">
        <v>15557330.25</v>
      </c>
      <c r="AX143">
        <v>13210576.550000001</v>
      </c>
      <c r="AY143">
        <v>14664231.07</v>
      </c>
      <c r="AZ143">
        <v>10593338.66</v>
      </c>
    </row>
    <row r="144" spans="1:52" x14ac:dyDescent="0.35">
      <c r="A144" t="s">
        <v>495</v>
      </c>
      <c r="B144" t="s">
        <v>496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80.404536585000002</v>
      </c>
      <c r="K144">
        <v>250.23059015999999</v>
      </c>
      <c r="L144">
        <v>56.625727273000003</v>
      </c>
      <c r="M144">
        <v>571.24465909000003</v>
      </c>
      <c r="N144">
        <v>422.23348485000002</v>
      </c>
      <c r="O144">
        <v>74.613954544999999</v>
      </c>
      <c r="P144">
        <v>64.278738094999994</v>
      </c>
      <c r="Q144">
        <v>71.245854839000003</v>
      </c>
      <c r="R144">
        <v>50.147761905000003</v>
      </c>
      <c r="S144">
        <v>54.035441175999999</v>
      </c>
      <c r="AJ144">
        <v>228459.6</v>
      </c>
      <c r="AK144">
        <v>190383</v>
      </c>
      <c r="AL144">
        <v>142152.64000000001</v>
      </c>
      <c r="AM144">
        <v>142152.64000000001</v>
      </c>
      <c r="AN144">
        <v>139614.20000000001</v>
      </c>
      <c r="AO144">
        <v>187209.95</v>
      </c>
      <c r="AP144">
        <v>174517.75</v>
      </c>
      <c r="AQ144">
        <v>215767.4</v>
      </c>
      <c r="AR144">
        <v>224017.33</v>
      </c>
      <c r="AS144">
        <v>222113.5</v>
      </c>
      <c r="AT144">
        <v>236074.92</v>
      </c>
      <c r="AU144">
        <v>229728.82</v>
      </c>
      <c r="AV144">
        <v>208786.69</v>
      </c>
      <c r="AW144">
        <v>188479.17</v>
      </c>
      <c r="AX144">
        <v>166902.43</v>
      </c>
      <c r="AY144">
        <v>173248.53</v>
      </c>
      <c r="AZ144">
        <v>151108.57999999999</v>
      </c>
    </row>
    <row r="145" spans="1:52" x14ac:dyDescent="0.35">
      <c r="A145" t="s">
        <v>195</v>
      </c>
      <c r="B145" t="s">
        <v>377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32883.706439000001</v>
      </c>
      <c r="K145">
        <v>31749.718819999998</v>
      </c>
      <c r="L145">
        <v>23486.082864</v>
      </c>
      <c r="M145">
        <v>24206.705750000001</v>
      </c>
      <c r="N145">
        <v>20270.641076</v>
      </c>
      <c r="O145">
        <v>15047.374771999999</v>
      </c>
      <c r="P145">
        <v>14723.015165999999</v>
      </c>
      <c r="Q145">
        <v>14433.068757999999</v>
      </c>
      <c r="R145">
        <v>18225.409285999998</v>
      </c>
      <c r="S145">
        <v>11636.427557999999</v>
      </c>
      <c r="AJ145">
        <v>2317049.9202999999</v>
      </c>
      <c r="AK145">
        <v>2088136.5547</v>
      </c>
      <c r="AL145">
        <v>1853674.3547</v>
      </c>
      <c r="AM145">
        <v>1915091.2760999999</v>
      </c>
      <c r="AN145">
        <v>1529839.6783</v>
      </c>
      <c r="AO145">
        <v>1467918.9306000001</v>
      </c>
      <c r="AP145">
        <v>1984714.3592999999</v>
      </c>
      <c r="AQ145">
        <v>2067181.7150000001</v>
      </c>
      <c r="AR145">
        <v>2166252.2810999998</v>
      </c>
      <c r="AS145">
        <v>2089473.7191999999</v>
      </c>
      <c r="AT145">
        <v>2259483.3919000002</v>
      </c>
      <c r="AU145">
        <v>2523432.8675000002</v>
      </c>
      <c r="AV145">
        <v>2154284.3912</v>
      </c>
      <c r="AW145">
        <v>2567510.2974999999</v>
      </c>
      <c r="AX145">
        <v>2344839.5403999998</v>
      </c>
      <c r="AY145">
        <v>2691611.5850999998</v>
      </c>
      <c r="AZ145">
        <v>2120073.2437999998</v>
      </c>
    </row>
    <row r="146" spans="1:52" x14ac:dyDescent="0.35">
      <c r="A146" t="s">
        <v>200</v>
      </c>
      <c r="B146" t="s">
        <v>382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1656.6808536999999</v>
      </c>
      <c r="K146">
        <v>1476.9387213</v>
      </c>
      <c r="L146">
        <v>1307.5744999999999</v>
      </c>
      <c r="M146">
        <v>1140.3150455</v>
      </c>
      <c r="N146">
        <v>1196.2773182000001</v>
      </c>
      <c r="O146">
        <v>643.85881817999996</v>
      </c>
      <c r="P146">
        <v>884.72085714000002</v>
      </c>
      <c r="Q146">
        <v>967.06182258000001</v>
      </c>
      <c r="R146">
        <v>824.81142856999998</v>
      </c>
      <c r="S146">
        <v>1037.8837647</v>
      </c>
      <c r="AJ146">
        <v>1497420.6007000001</v>
      </c>
      <c r="AK146">
        <v>1446836.3813</v>
      </c>
      <c r="AL146">
        <v>1242955.987</v>
      </c>
      <c r="AM146">
        <v>1359056.2715</v>
      </c>
      <c r="AN146">
        <v>1263444.2725</v>
      </c>
      <c r="AO146">
        <v>1301708.1963</v>
      </c>
      <c r="AP146">
        <v>1619527.8598</v>
      </c>
      <c r="AQ146">
        <v>1602622.5585</v>
      </c>
      <c r="AR146">
        <v>1583061.7327000001</v>
      </c>
      <c r="AS146">
        <v>1482229.7753000001</v>
      </c>
      <c r="AT146">
        <v>1512479.3625</v>
      </c>
      <c r="AU146">
        <v>1528557.3247</v>
      </c>
      <c r="AV146">
        <v>1418661.0464999999</v>
      </c>
      <c r="AW146">
        <v>1598491.32</v>
      </c>
      <c r="AX146">
        <v>1746984.9955</v>
      </c>
      <c r="AY146">
        <v>1926333.2649999999</v>
      </c>
      <c r="AZ146">
        <v>1631498.8273</v>
      </c>
    </row>
    <row r="147" spans="1:52" x14ac:dyDescent="0.35">
      <c r="A147" t="s">
        <v>196</v>
      </c>
      <c r="B147" t="s">
        <v>378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14668.546439</v>
      </c>
      <c r="K147">
        <v>14055.465967</v>
      </c>
      <c r="L147">
        <v>16553.894227000001</v>
      </c>
      <c r="M147">
        <v>18183.918091</v>
      </c>
      <c r="N147">
        <v>16073.953514999999</v>
      </c>
      <c r="O147">
        <v>19812.905091000001</v>
      </c>
      <c r="P147">
        <v>22801.507429000001</v>
      </c>
      <c r="Q147">
        <v>18634.103242000001</v>
      </c>
      <c r="R147">
        <v>8895.4564762000009</v>
      </c>
      <c r="S147">
        <v>9180.4220294000006</v>
      </c>
      <c r="AJ147">
        <v>8376594.6982000005</v>
      </c>
      <c r="AK147">
        <v>7438791.2133999998</v>
      </c>
      <c r="AL147">
        <v>6721295.4151999997</v>
      </c>
      <c r="AM147">
        <v>8072259.0323000001</v>
      </c>
      <c r="AN147">
        <v>7529191.7718000002</v>
      </c>
      <c r="AO147">
        <v>7626407.5159999998</v>
      </c>
      <c r="AP147">
        <v>8504701.4804999996</v>
      </c>
      <c r="AQ147">
        <v>7971691.0210999995</v>
      </c>
      <c r="AR147">
        <v>8049198.0719999997</v>
      </c>
      <c r="AS147">
        <v>8297381.6792000001</v>
      </c>
      <c r="AT147">
        <v>9950821.1164999995</v>
      </c>
      <c r="AU147">
        <v>9638914.6911999993</v>
      </c>
      <c r="AV147">
        <v>9833436.9780000001</v>
      </c>
      <c r="AW147">
        <v>8646180.2622999996</v>
      </c>
      <c r="AX147">
        <v>8035782.7418999998</v>
      </c>
      <c r="AY147">
        <v>8327566.1720000003</v>
      </c>
      <c r="AZ147">
        <v>5691301.3914000001</v>
      </c>
    </row>
    <row r="148" spans="1:52" x14ac:dyDescent="0.35">
      <c r="A148" t="s">
        <v>209</v>
      </c>
      <c r="B148" t="s">
        <v>391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10710.941439</v>
      </c>
      <c r="K148">
        <v>13368.068622999999</v>
      </c>
      <c r="L148">
        <v>16436.838682000001</v>
      </c>
      <c r="M148">
        <v>17441.683773000001</v>
      </c>
      <c r="N148">
        <v>18412.218636000001</v>
      </c>
      <c r="O148">
        <v>19148.678591</v>
      </c>
      <c r="P148">
        <v>21518.325690000001</v>
      </c>
      <c r="Q148">
        <v>22337.619274000001</v>
      </c>
      <c r="R148">
        <v>50041.541095</v>
      </c>
      <c r="S148">
        <v>34046.955999999998</v>
      </c>
      <c r="AJ148">
        <v>1350872.4232000001</v>
      </c>
      <c r="AK148">
        <v>1036735.6314</v>
      </c>
      <c r="AL148">
        <v>905183.93160000001</v>
      </c>
      <c r="AM148">
        <v>1025036.9892</v>
      </c>
      <c r="AN148">
        <v>1018331.923</v>
      </c>
      <c r="AO148">
        <v>1209426.3086000001</v>
      </c>
      <c r="AP148">
        <v>1379567.3624</v>
      </c>
      <c r="AQ148">
        <v>1731583.3358</v>
      </c>
      <c r="AR148">
        <v>1951290.9186</v>
      </c>
      <c r="AS148">
        <v>1864134.3858</v>
      </c>
      <c r="AT148">
        <v>2192452.1985999998</v>
      </c>
      <c r="AU148">
        <v>2531568.9805000001</v>
      </c>
      <c r="AV148">
        <v>2338719.7563999998</v>
      </c>
      <c r="AW148">
        <v>2491814.9737999998</v>
      </c>
      <c r="AX148">
        <v>1967387.9834</v>
      </c>
      <c r="AY148">
        <v>2966261.3829999999</v>
      </c>
      <c r="AZ148">
        <v>2426892.6708</v>
      </c>
    </row>
    <row r="149" spans="1:52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1504.4700731999999</v>
      </c>
      <c r="K149">
        <v>1444.5011474999999</v>
      </c>
      <c r="L149">
        <v>1344.9755</v>
      </c>
      <c r="M149">
        <v>1404.4881135999999</v>
      </c>
      <c r="N149">
        <v>2121.7943181999999</v>
      </c>
      <c r="O149">
        <v>1802.9865</v>
      </c>
      <c r="P149">
        <v>1859.3983095000001</v>
      </c>
      <c r="Q149">
        <v>2378.7424031999999</v>
      </c>
      <c r="R149">
        <v>1914.2526667</v>
      </c>
      <c r="S149">
        <v>1138.9222353</v>
      </c>
      <c r="AJ149">
        <v>726100.88944000006</v>
      </c>
      <c r="AK149">
        <v>695506.75083999999</v>
      </c>
      <c r="AL149">
        <v>725166.10765000002</v>
      </c>
      <c r="AM149">
        <v>770105.97910999996</v>
      </c>
      <c r="AN149">
        <v>763977.81481999997</v>
      </c>
      <c r="AO149">
        <v>653670.85759999999</v>
      </c>
      <c r="AP149">
        <v>661841.74332000001</v>
      </c>
      <c r="AQ149">
        <v>696568.00763000001</v>
      </c>
      <c r="AR149">
        <v>692554.39434999996</v>
      </c>
      <c r="AS149">
        <v>678168.9915</v>
      </c>
      <c r="AT149">
        <v>776811.75390000001</v>
      </c>
      <c r="AU149">
        <v>859061.27735999995</v>
      </c>
      <c r="AV149">
        <v>807682.01436000003</v>
      </c>
      <c r="AW149">
        <v>795350.99124</v>
      </c>
      <c r="AX149">
        <v>780964.79760000005</v>
      </c>
      <c r="AY149">
        <v>820013.03748000006</v>
      </c>
      <c r="AZ149">
        <v>560064.20663999999</v>
      </c>
    </row>
    <row r="150" spans="1:52" x14ac:dyDescent="0.35">
      <c r="A150" t="s">
        <v>202</v>
      </c>
      <c r="B150" t="s">
        <v>384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0.77268292682999995</v>
      </c>
      <c r="K150">
        <v>0.51934426229999997</v>
      </c>
      <c r="L150">
        <v>0</v>
      </c>
      <c r="M150">
        <v>0</v>
      </c>
      <c r="N150">
        <v>0.75128787879000003</v>
      </c>
      <c r="O150">
        <v>4.8791818182000002</v>
      </c>
      <c r="P150">
        <v>3.2902380951999999</v>
      </c>
      <c r="Q150">
        <v>2.6309999999999998</v>
      </c>
      <c r="R150">
        <v>8.7843333332999993</v>
      </c>
      <c r="S150">
        <v>0</v>
      </c>
      <c r="AJ150">
        <v>156687</v>
      </c>
      <c r="AK150">
        <v>163896.65578</v>
      </c>
      <c r="AL150">
        <v>385353</v>
      </c>
      <c r="AM150">
        <v>377154</v>
      </c>
      <c r="AN150">
        <v>389862.45</v>
      </c>
      <c r="AO150">
        <v>391502.25</v>
      </c>
      <c r="AP150">
        <v>397651.5</v>
      </c>
      <c r="AQ150">
        <v>389452.5</v>
      </c>
      <c r="AU150">
        <v>504238.5</v>
      </c>
      <c r="AV150">
        <v>512437.5</v>
      </c>
      <c r="AW150">
        <v>584287.74</v>
      </c>
      <c r="AX150">
        <v>512437.5</v>
      </c>
      <c r="AY150">
        <v>606726</v>
      </c>
    </row>
    <row r="151" spans="1:52" x14ac:dyDescent="0.35">
      <c r="A151" t="s">
        <v>197</v>
      </c>
      <c r="B151" t="s">
        <v>379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22.396268292999999</v>
      </c>
      <c r="K151">
        <v>18.287360656000001</v>
      </c>
      <c r="L151">
        <v>9.3467272727000008</v>
      </c>
      <c r="M151">
        <v>14.468977272</v>
      </c>
      <c r="N151">
        <v>15.237257574999999</v>
      </c>
      <c r="O151">
        <v>6.5306363636000002</v>
      </c>
      <c r="P151">
        <v>14.482857142</v>
      </c>
      <c r="Q151">
        <v>11.649741935</v>
      </c>
      <c r="R151">
        <v>58.676904761999999</v>
      </c>
      <c r="S151">
        <v>11.521323529</v>
      </c>
      <c r="AJ151">
        <v>45571.71056</v>
      </c>
      <c r="AK151">
        <v>37880.0386</v>
      </c>
      <c r="AL151">
        <v>46207.863879999997</v>
      </c>
      <c r="AM151">
        <v>46034.36752</v>
      </c>
      <c r="AN151">
        <v>38169.199200000003</v>
      </c>
      <c r="AO151">
        <v>38111.367080000004</v>
      </c>
      <c r="AP151">
        <v>34294.447160000003</v>
      </c>
      <c r="AQ151">
        <v>30130.534520000001</v>
      </c>
      <c r="AR151">
        <v>23422.008600000001</v>
      </c>
      <c r="AS151">
        <v>23132.848000000002</v>
      </c>
      <c r="AT151">
        <v>29436.549080000001</v>
      </c>
      <c r="AU151">
        <v>34641.439879999998</v>
      </c>
      <c r="AV151">
        <v>37533.045879999998</v>
      </c>
      <c r="AW151">
        <v>34641.439879999998</v>
      </c>
      <c r="AX151">
        <v>34699.271999999997</v>
      </c>
      <c r="AY151">
        <v>39730.666440000001</v>
      </c>
      <c r="AZ151">
        <v>29147.388480000001</v>
      </c>
    </row>
    <row r="152" spans="1:52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295566.88433999999</v>
      </c>
      <c r="K152">
        <v>300328.34850999998</v>
      </c>
      <c r="L152">
        <v>169255.95236</v>
      </c>
      <c r="M152">
        <v>157835.10870000001</v>
      </c>
      <c r="N152">
        <v>198136.52239</v>
      </c>
      <c r="O152">
        <v>194111.92332</v>
      </c>
      <c r="P152">
        <v>178122.95228999999</v>
      </c>
      <c r="Q152">
        <v>185027.77011000001</v>
      </c>
      <c r="R152">
        <v>174606.76514</v>
      </c>
      <c r="S152">
        <v>91752.109146999996</v>
      </c>
      <c r="AJ152">
        <v>6963129.6907000002</v>
      </c>
      <c r="AK152">
        <v>6646623.7955999998</v>
      </c>
      <c r="AL152">
        <v>4784391.4364999998</v>
      </c>
      <c r="AM152">
        <v>5461566.8398000002</v>
      </c>
      <c r="AN152">
        <v>5262830.5800999999</v>
      </c>
      <c r="AO152">
        <v>7477045.5094999997</v>
      </c>
      <c r="AP152">
        <v>6865622.0835999995</v>
      </c>
      <c r="AQ152">
        <v>6791956.6106000002</v>
      </c>
      <c r="AR152">
        <v>7263989.3331000004</v>
      </c>
      <c r="AS152">
        <v>5412962.6096000001</v>
      </c>
      <c r="AT152">
        <v>6039804.3287000004</v>
      </c>
      <c r="AU152">
        <v>7081872.7775999997</v>
      </c>
      <c r="AV152">
        <v>6248277.3361</v>
      </c>
      <c r="AW152">
        <v>7583505.4326999998</v>
      </c>
      <c r="AX152">
        <v>6924937.9552999996</v>
      </c>
      <c r="AY152">
        <v>7583349.2822000002</v>
      </c>
      <c r="AZ152">
        <v>3281035.1927</v>
      </c>
    </row>
    <row r="153" spans="1:52" x14ac:dyDescent="0.35">
      <c r="A153" t="s">
        <v>205</v>
      </c>
      <c r="B153" t="s">
        <v>387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8225.8287560999997</v>
      </c>
      <c r="K153">
        <v>8191.3939179999998</v>
      </c>
      <c r="L153">
        <v>7587.8242272999996</v>
      </c>
      <c r="M153">
        <v>8261.7237955000001</v>
      </c>
      <c r="N153">
        <v>9425.5737575999992</v>
      </c>
      <c r="O153">
        <v>12355.374045</v>
      </c>
      <c r="P153">
        <v>13842.97219</v>
      </c>
      <c r="Q153">
        <v>19155.1535</v>
      </c>
      <c r="R153">
        <v>10675.109714</v>
      </c>
      <c r="S153">
        <v>13188.252235</v>
      </c>
      <c r="AJ153">
        <v>2444673</v>
      </c>
      <c r="AK153">
        <v>2179251.36</v>
      </c>
      <c r="AL153">
        <v>1892857.3762999999</v>
      </c>
      <c r="AM153">
        <v>2099084</v>
      </c>
      <c r="AN153">
        <v>2003774.24</v>
      </c>
      <c r="AO153">
        <v>2133854.36</v>
      </c>
      <c r="AP153">
        <v>2291750.56</v>
      </c>
      <c r="AQ153">
        <v>2404533.56</v>
      </c>
      <c r="AR153">
        <v>2504758.75</v>
      </c>
      <c r="AS153">
        <v>2572761.25</v>
      </c>
      <c r="AT153">
        <v>2840237.75</v>
      </c>
      <c r="AU153">
        <v>2695165.75</v>
      </c>
      <c r="AV153">
        <v>2958108.75</v>
      </c>
      <c r="AW153">
        <v>3060112.5</v>
      </c>
      <c r="AX153">
        <v>3173464</v>
      </c>
      <c r="AY153">
        <v>3513478</v>
      </c>
      <c r="AZ153">
        <v>3567864.78</v>
      </c>
    </row>
    <row r="154" spans="1:52" x14ac:dyDescent="0.35">
      <c r="A154" t="s">
        <v>210</v>
      </c>
      <c r="B154" t="s">
        <v>392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2373.5556829000002</v>
      </c>
      <c r="K154">
        <v>2191.1472951000001</v>
      </c>
      <c r="L154">
        <v>912.81736364000005</v>
      </c>
      <c r="M154">
        <v>1238.9695455000001</v>
      </c>
      <c r="N154">
        <v>1315.2601666999999</v>
      </c>
      <c r="O154">
        <v>2030.3716818</v>
      </c>
      <c r="P154">
        <v>2053.4484047999999</v>
      </c>
      <c r="Q154">
        <v>2017.5604194</v>
      </c>
      <c r="R154">
        <v>1665.3193332999999</v>
      </c>
      <c r="S154">
        <v>2666.7036471000001</v>
      </c>
      <c r="AJ154">
        <v>1308008.6388000001</v>
      </c>
      <c r="AK154">
        <v>1025414.1798</v>
      </c>
      <c r="AL154">
        <v>855857.50439999998</v>
      </c>
      <c r="AM154">
        <v>1001191.7976</v>
      </c>
      <c r="AN154">
        <v>912376.39619999996</v>
      </c>
      <c r="AO154">
        <v>985043.54280000005</v>
      </c>
      <c r="AP154">
        <v>985043.54280000005</v>
      </c>
      <c r="AQ154">
        <v>839709.24959999998</v>
      </c>
      <c r="AR154">
        <v>872008.98840000003</v>
      </c>
      <c r="AS154">
        <v>823564.04460000002</v>
      </c>
      <c r="AT154">
        <v>839712.35919999995</v>
      </c>
      <c r="AU154">
        <v>847786.51650000003</v>
      </c>
      <c r="AV154">
        <v>960824.71869999997</v>
      </c>
      <c r="AW154">
        <v>1090011.2355</v>
      </c>
      <c r="AX154">
        <v>1098085.3928</v>
      </c>
      <c r="AY154">
        <v>1146530.3366</v>
      </c>
      <c r="AZ154">
        <v>1501822.6421000001</v>
      </c>
    </row>
    <row r="155" spans="1:52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40514.827098000002</v>
      </c>
      <c r="K155">
        <v>46979.923475000003</v>
      </c>
      <c r="L155">
        <v>34269.935363999997</v>
      </c>
      <c r="M155">
        <v>36155.806932</v>
      </c>
      <c r="N155">
        <v>33747.187288000001</v>
      </c>
      <c r="O155">
        <v>31393.523364000001</v>
      </c>
      <c r="P155">
        <v>33223.699286000003</v>
      </c>
      <c r="Q155">
        <v>40628.062919000004</v>
      </c>
      <c r="R155">
        <v>59991.898809999999</v>
      </c>
      <c r="S155">
        <v>37017.119176</v>
      </c>
      <c r="AJ155">
        <v>2147229.3420000002</v>
      </c>
      <c r="AK155">
        <v>1878825.6742</v>
      </c>
      <c r="AL155">
        <v>1264177.3755999999</v>
      </c>
      <c r="AM155">
        <v>1464160.2372999999</v>
      </c>
      <c r="AN155">
        <v>1271319.6207000001</v>
      </c>
      <c r="AO155">
        <v>1709660.7871999999</v>
      </c>
      <c r="AP155">
        <v>2461772.2536999998</v>
      </c>
      <c r="AQ155">
        <v>2418123.6886999998</v>
      </c>
      <c r="AR155">
        <v>2404540.5197000001</v>
      </c>
      <c r="AS155">
        <v>2181580.2718000002</v>
      </c>
      <c r="AT155">
        <v>2431981.7809000001</v>
      </c>
      <c r="AU155">
        <v>3045645.2634000001</v>
      </c>
      <c r="AV155">
        <v>2783910.1235000002</v>
      </c>
      <c r="AW155">
        <v>3987211.9352000002</v>
      </c>
      <c r="AX155">
        <v>3310160.2762000002</v>
      </c>
      <c r="AY155">
        <v>4222489.2867000001</v>
      </c>
      <c r="AZ155">
        <v>2654249.0077</v>
      </c>
    </row>
    <row r="156" spans="1:52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65779.904049000004</v>
      </c>
      <c r="K156">
        <v>68001.306049000006</v>
      </c>
      <c r="L156">
        <v>59499.287499999999</v>
      </c>
      <c r="M156">
        <v>67616.037408999997</v>
      </c>
      <c r="N156">
        <v>66361.680378999998</v>
      </c>
      <c r="O156">
        <v>55008.337500000001</v>
      </c>
      <c r="P156">
        <v>59028.311737999997</v>
      </c>
      <c r="Q156">
        <v>59149.049451999999</v>
      </c>
      <c r="R156">
        <v>74533.635238000003</v>
      </c>
      <c r="S156">
        <v>50317.175088000004</v>
      </c>
      <c r="AJ156">
        <v>3894755.92</v>
      </c>
      <c r="AK156">
        <v>2971721.28</v>
      </c>
      <c r="AL156">
        <v>2988606.06</v>
      </c>
      <c r="AM156">
        <v>3219364.72</v>
      </c>
      <c r="AN156">
        <v>2538345.2599999998</v>
      </c>
      <c r="AO156">
        <v>2876040.86</v>
      </c>
      <c r="AP156">
        <v>3331929.92</v>
      </c>
      <c r="AQ156">
        <v>2977349.54</v>
      </c>
      <c r="AR156">
        <v>3585201.62</v>
      </c>
      <c r="AS156">
        <v>3405097.3</v>
      </c>
      <c r="AT156">
        <v>4271849.34</v>
      </c>
      <c r="AU156">
        <v>4193053.7</v>
      </c>
      <c r="AV156">
        <v>4254964.5599999996</v>
      </c>
      <c r="AW156">
        <v>5234281.8</v>
      </c>
      <c r="AX156">
        <v>4384414.54</v>
      </c>
      <c r="AY156">
        <v>4542005.82</v>
      </c>
      <c r="AZ156">
        <v>2735378.1</v>
      </c>
    </row>
    <row r="157" spans="1:52" x14ac:dyDescent="0.35">
      <c r="A157" t="s">
        <v>207</v>
      </c>
      <c r="B157" t="s">
        <v>389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2962.7175609999999</v>
      </c>
      <c r="K157">
        <v>2802.1686393</v>
      </c>
      <c r="L157">
        <v>1619.1489544999999</v>
      </c>
      <c r="M157">
        <v>2222.3609999999999</v>
      </c>
      <c r="N157">
        <v>2250.9250909000002</v>
      </c>
      <c r="O157">
        <v>1792.2356818000001</v>
      </c>
      <c r="P157">
        <v>2109.7316190000001</v>
      </c>
      <c r="Q157">
        <v>2100.6286451999999</v>
      </c>
      <c r="R157">
        <v>2463.8630951999999</v>
      </c>
      <c r="S157">
        <v>2265.6402352999999</v>
      </c>
      <c r="AJ157">
        <v>390309.0858</v>
      </c>
      <c r="AK157">
        <v>372327.3664</v>
      </c>
      <c r="AL157">
        <v>306746.978</v>
      </c>
      <c r="AM157">
        <v>349056.90600000002</v>
      </c>
      <c r="AN157">
        <v>321555.45280000003</v>
      </c>
      <c r="AO157">
        <v>356461.1434</v>
      </c>
      <c r="AP157">
        <v>406175.3088</v>
      </c>
      <c r="AQ157">
        <v>426272.5246</v>
      </c>
      <c r="AR157">
        <v>428388.02100000001</v>
      </c>
      <c r="AS157">
        <v>395597.82679999998</v>
      </c>
      <c r="AT157">
        <v>385020.34480000002</v>
      </c>
      <c r="AU157">
        <v>410406.30160000001</v>
      </c>
      <c r="AV157">
        <v>387135.84120000002</v>
      </c>
      <c r="AW157">
        <v>391366.83399999997</v>
      </c>
      <c r="AX157">
        <v>393482.33039999998</v>
      </c>
      <c r="AY157">
        <v>418868.28720000002</v>
      </c>
      <c r="AZ157">
        <v>306746.978</v>
      </c>
    </row>
    <row r="158" spans="1:52" x14ac:dyDescent="0.35">
      <c r="A158" t="s">
        <v>211</v>
      </c>
      <c r="B158" t="s">
        <v>393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108037.849</v>
      </c>
      <c r="K158">
        <v>106196.80603000001</v>
      </c>
      <c r="L158">
        <v>83966.469364000004</v>
      </c>
      <c r="M158">
        <v>85760.617794999998</v>
      </c>
      <c r="N158">
        <v>88746.586544999998</v>
      </c>
      <c r="O158">
        <v>86412.717864000006</v>
      </c>
      <c r="P158">
        <v>96089.129000000001</v>
      </c>
      <c r="Q158">
        <v>98330.915257999994</v>
      </c>
      <c r="R158">
        <v>147159.90067</v>
      </c>
      <c r="S158">
        <v>93750.834881999996</v>
      </c>
      <c r="AJ158">
        <v>13873969.107999999</v>
      </c>
      <c r="AK158">
        <v>12350904.446</v>
      </c>
      <c r="AL158">
        <v>10101337.425000001</v>
      </c>
      <c r="AM158">
        <v>10902411.668</v>
      </c>
      <c r="AN158">
        <v>10237809.253</v>
      </c>
      <c r="AO158">
        <v>11041187.105</v>
      </c>
      <c r="AP158">
        <v>12575228.145</v>
      </c>
      <c r="AQ158">
        <v>13132172.981000001</v>
      </c>
      <c r="AR158">
        <v>13293393.855</v>
      </c>
      <c r="AS158">
        <v>12433549.195</v>
      </c>
      <c r="AT158">
        <v>13606064.640000001</v>
      </c>
      <c r="AU158">
        <v>14208560.089</v>
      </c>
      <c r="AV158">
        <v>13431682.147</v>
      </c>
      <c r="AW158">
        <v>14736250.766000001</v>
      </c>
      <c r="AX158">
        <v>13334206.175000001</v>
      </c>
      <c r="AY158">
        <v>16118486.290999999</v>
      </c>
      <c r="AZ158">
        <v>13125675.297</v>
      </c>
    </row>
    <row r="159" spans="1:52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13417.677804000001</v>
      </c>
      <c r="K159">
        <v>12422.938983</v>
      </c>
      <c r="L159">
        <v>11161.673045</v>
      </c>
      <c r="M159">
        <v>11590.002135999999</v>
      </c>
      <c r="N159">
        <v>12964.977015</v>
      </c>
      <c r="O159">
        <v>14252.749818</v>
      </c>
      <c r="P159">
        <v>16162.164429</v>
      </c>
      <c r="Q159">
        <v>14938.949306</v>
      </c>
      <c r="R159">
        <v>15276.186666</v>
      </c>
      <c r="S159">
        <v>7351.1336764999996</v>
      </c>
      <c r="AJ159">
        <v>1526156.3</v>
      </c>
      <c r="AK159">
        <v>1756802.1</v>
      </c>
      <c r="AL159">
        <v>1689405.6</v>
      </c>
      <c r="AM159">
        <v>2056342.1</v>
      </c>
      <c r="AN159">
        <v>1908069.8</v>
      </c>
      <c r="AO159">
        <v>1744820.5</v>
      </c>
      <c r="AP159">
        <v>1845166.4</v>
      </c>
      <c r="AQ159">
        <v>1819705.5</v>
      </c>
      <c r="AR159">
        <v>1999429.5</v>
      </c>
      <c r="AS159">
        <v>2176158.1</v>
      </c>
      <c r="AT159">
        <v>2104268.5</v>
      </c>
      <c r="AU159">
        <v>1785258.4</v>
      </c>
      <c r="AV159">
        <v>1639981.5</v>
      </c>
      <c r="AW159">
        <v>1542631</v>
      </c>
      <c r="AX159">
        <v>1511179.3</v>
      </c>
      <c r="AY159">
        <v>1650465.4</v>
      </c>
      <c r="AZ159">
        <v>1353920.8</v>
      </c>
    </row>
    <row r="160" spans="1:52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25604.485537</v>
      </c>
      <c r="K160">
        <v>25748.270033000001</v>
      </c>
      <c r="L160">
        <v>24050.387817999999</v>
      </c>
      <c r="M160">
        <v>27129.320317999998</v>
      </c>
      <c r="N160">
        <v>36379.128135999999</v>
      </c>
      <c r="O160">
        <v>53338.170408999998</v>
      </c>
      <c r="P160">
        <v>104051.34431</v>
      </c>
      <c r="Q160">
        <v>103613.40577</v>
      </c>
      <c r="R160">
        <v>82528.046143</v>
      </c>
      <c r="S160">
        <v>0</v>
      </c>
      <c r="AJ160">
        <v>23159053.690000001</v>
      </c>
      <c r="AK160">
        <v>23522808.460000001</v>
      </c>
      <c r="AL160">
        <v>22940790.813999999</v>
      </c>
      <c r="AM160">
        <v>22783080.460000001</v>
      </c>
      <c r="AN160">
        <v>23595895.364</v>
      </c>
      <c r="AO160">
        <v>25368362.482999999</v>
      </c>
      <c r="AP160">
        <v>27795956.978999998</v>
      </c>
      <c r="AQ160">
        <v>30405621.061999999</v>
      </c>
      <c r="AR160">
        <v>31024657.659000002</v>
      </c>
      <c r="AS160">
        <v>30235689.447999999</v>
      </c>
      <c r="AT160">
        <v>33185216.760000002</v>
      </c>
      <c r="AU160">
        <v>34835981.017999999</v>
      </c>
      <c r="AV160">
        <v>35418603.696999997</v>
      </c>
      <c r="AW160">
        <v>39193513.137999997</v>
      </c>
      <c r="AX160">
        <v>38218754.890000001</v>
      </c>
      <c r="AY160">
        <v>39327030.835000001</v>
      </c>
    </row>
    <row r="161" spans="1:52" x14ac:dyDescent="0.35">
      <c r="A161" t="s">
        <v>458</v>
      </c>
      <c r="B161" t="s">
        <v>457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124308.06570000001</v>
      </c>
      <c r="K161">
        <v>106589.43478</v>
      </c>
      <c r="L161">
        <v>49343.608045000001</v>
      </c>
      <c r="M161">
        <v>91198.510773000002</v>
      </c>
      <c r="N161">
        <v>97294.059590999997</v>
      </c>
      <c r="O161">
        <v>73681.077682000003</v>
      </c>
      <c r="P161">
        <v>81682.450689999998</v>
      </c>
      <c r="Q161">
        <v>76940.744160999995</v>
      </c>
      <c r="R161">
        <v>66017.601618999994</v>
      </c>
      <c r="S161">
        <v>63834.866853</v>
      </c>
      <c r="AJ161">
        <v>18997837.32</v>
      </c>
      <c r="AK161">
        <v>19233404.960000001</v>
      </c>
      <c r="AL161">
        <v>17686533.920000002</v>
      </c>
      <c r="AM161">
        <v>17658812.079999998</v>
      </c>
      <c r="AN161">
        <v>17922169.559999999</v>
      </c>
      <c r="AO161">
        <v>13831574.58</v>
      </c>
      <c r="AP161">
        <v>13166994.42</v>
      </c>
      <c r="AQ161">
        <v>14496154.74</v>
      </c>
      <c r="AR161">
        <v>15188860.397</v>
      </c>
      <c r="AS161">
        <v>12577201.142999999</v>
      </c>
      <c r="AT161">
        <v>12384763.093</v>
      </c>
      <c r="AU161">
        <v>12844880.4</v>
      </c>
      <c r="AV161">
        <v>12377793.84</v>
      </c>
      <c r="AW161">
        <v>11388669.359999999</v>
      </c>
      <c r="AX161">
        <v>10234690.800000001</v>
      </c>
      <c r="AY161">
        <v>12048085.68</v>
      </c>
      <c r="AZ161">
        <v>10526640.1</v>
      </c>
    </row>
    <row r="162" spans="1:52" x14ac:dyDescent="0.35">
      <c r="A162" t="s">
        <v>217</v>
      </c>
      <c r="B162" t="s">
        <v>398</v>
      </c>
      <c r="C162">
        <v>117.36747826</v>
      </c>
      <c r="D162">
        <v>116.91642856999999</v>
      </c>
      <c r="E162">
        <v>125.75931147</v>
      </c>
      <c r="F162">
        <v>180.98604545000001</v>
      </c>
      <c r="G162">
        <v>180.05861905</v>
      </c>
      <c r="H162">
        <v>147.11968852000001</v>
      </c>
      <c r="I162">
        <v>76.725399999999993</v>
      </c>
      <c r="J162">
        <v>91.347853658999995</v>
      </c>
      <c r="K162">
        <v>101.69113114</v>
      </c>
      <c r="L162">
        <v>122.62940909</v>
      </c>
      <c r="M162">
        <v>114.30604545</v>
      </c>
      <c r="N162">
        <v>110.43765150999999</v>
      </c>
      <c r="O162">
        <v>59.924681818000003</v>
      </c>
      <c r="P162">
        <v>92.944238095000003</v>
      </c>
      <c r="Q162">
        <v>152.60029032</v>
      </c>
      <c r="R162">
        <v>122.64138095</v>
      </c>
      <c r="S162">
        <v>447.12900000000002</v>
      </c>
      <c r="AJ162">
        <v>1188264.0926000001</v>
      </c>
      <c r="AK162">
        <v>1107612.6836000001</v>
      </c>
      <c r="AL162">
        <v>920403.17610000004</v>
      </c>
      <c r="AM162">
        <v>968354.58406000002</v>
      </c>
      <c r="AN162">
        <v>957063.38679999998</v>
      </c>
      <c r="AO162">
        <v>1199017.6137999999</v>
      </c>
      <c r="AP162">
        <v>1204394.3744000001</v>
      </c>
      <c r="AQ162">
        <v>1322683.1076</v>
      </c>
      <c r="AR162">
        <v>1297412.3328</v>
      </c>
      <c r="AS162">
        <v>1165681.6980999999</v>
      </c>
      <c r="AT162">
        <v>1158691.9092999999</v>
      </c>
      <c r="AU162">
        <v>1196329.2335000001</v>
      </c>
      <c r="AV162">
        <v>1171596.1347000001</v>
      </c>
      <c r="AW162">
        <v>1256548.9521999999</v>
      </c>
      <c r="AX162">
        <v>1236654.9380000001</v>
      </c>
      <c r="AY162">
        <v>1319457.0512000001</v>
      </c>
      <c r="AZ162">
        <v>1328059.8681999999</v>
      </c>
    </row>
    <row r="163" spans="1:52" x14ac:dyDescent="0.35">
      <c r="A163" t="s">
        <v>214</v>
      </c>
      <c r="B163" t="s">
        <v>395</v>
      </c>
      <c r="C163">
        <v>1941.1235652</v>
      </c>
      <c r="D163">
        <v>10492.305381</v>
      </c>
      <c r="E163">
        <v>8773.5304754000008</v>
      </c>
      <c r="F163">
        <v>2665.8830455000002</v>
      </c>
      <c r="G163">
        <v>2440.0944524000001</v>
      </c>
      <c r="H163">
        <v>2609.5490328000001</v>
      </c>
      <c r="I163">
        <v>7205.1360500000001</v>
      </c>
      <c r="J163">
        <v>5290.1234877999996</v>
      </c>
      <c r="K163">
        <v>4356.1638524999998</v>
      </c>
      <c r="L163">
        <v>1892.6990455</v>
      </c>
      <c r="M163">
        <v>1628.4811136000001</v>
      </c>
      <c r="N163">
        <v>1388.2571212</v>
      </c>
      <c r="O163">
        <v>1373.6733182</v>
      </c>
      <c r="P163">
        <v>2369.3231190000001</v>
      </c>
      <c r="Q163">
        <v>2400.7031935999998</v>
      </c>
      <c r="R163">
        <v>630.23690476000002</v>
      </c>
      <c r="S163">
        <v>66.509617646999999</v>
      </c>
      <c r="AJ163">
        <v>277627.37</v>
      </c>
      <c r="AK163">
        <v>531783.2524</v>
      </c>
      <c r="AL163">
        <v>445665.95</v>
      </c>
      <c r="AM163">
        <v>538374.56000000006</v>
      </c>
      <c r="AN163">
        <v>376854.86</v>
      </c>
      <c r="AO163">
        <v>332486.94</v>
      </c>
      <c r="AP163">
        <v>194792.9</v>
      </c>
      <c r="AQ163">
        <v>215974.35</v>
      </c>
      <c r="AR163">
        <v>220177.56</v>
      </c>
      <c r="AS163">
        <v>179358.07</v>
      </c>
      <c r="AT163">
        <v>182127</v>
      </c>
      <c r="AU163">
        <v>180786.26</v>
      </c>
      <c r="AV163">
        <v>100908.95</v>
      </c>
      <c r="AW163">
        <v>90803.22</v>
      </c>
      <c r="AX163">
        <v>57953.63</v>
      </c>
      <c r="AY163">
        <v>59755.98</v>
      </c>
      <c r="AZ163">
        <v>29877.99</v>
      </c>
    </row>
    <row r="164" spans="1:52" x14ac:dyDescent="0.35">
      <c r="A164" t="s">
        <v>215</v>
      </c>
      <c r="B164" t="s">
        <v>396</v>
      </c>
      <c r="C164">
        <v>11978.063391</v>
      </c>
      <c r="D164">
        <v>22111.524071</v>
      </c>
      <c r="E164">
        <v>23831.427179999999</v>
      </c>
      <c r="F164">
        <v>17767.021364</v>
      </c>
      <c r="G164">
        <v>38044.429285999999</v>
      </c>
      <c r="H164">
        <v>32599.953753999998</v>
      </c>
      <c r="I164">
        <v>11951.826499999999</v>
      </c>
      <c r="J164">
        <v>9740.1613902000008</v>
      </c>
      <c r="K164">
        <v>9450.1318525000006</v>
      </c>
      <c r="L164">
        <v>8639.8240454999996</v>
      </c>
      <c r="M164">
        <v>9658.0474317999997</v>
      </c>
      <c r="N164">
        <v>9571.0581817999991</v>
      </c>
      <c r="O164">
        <v>11713.319954000001</v>
      </c>
      <c r="P164">
        <v>10323.137833000001</v>
      </c>
      <c r="Q164">
        <v>10769.502387</v>
      </c>
      <c r="R164">
        <v>12247.131665999999</v>
      </c>
      <c r="S164">
        <v>12719.293116999999</v>
      </c>
      <c r="AJ164">
        <v>2910846.3325999998</v>
      </c>
      <c r="AK164">
        <v>1379488.0445999999</v>
      </c>
      <c r="AL164">
        <v>1480734.8735</v>
      </c>
      <c r="AM164">
        <v>1360504.2642000001</v>
      </c>
      <c r="AN164">
        <v>3556294.8672000002</v>
      </c>
      <c r="AO164">
        <v>3841215.4637000002</v>
      </c>
      <c r="AP164">
        <v>3828559.0701000001</v>
      </c>
      <c r="AQ164">
        <v>3189411.1921999999</v>
      </c>
      <c r="AR164">
        <v>3250214.0691999998</v>
      </c>
      <c r="AS164">
        <v>3611348.9657999999</v>
      </c>
      <c r="AT164">
        <v>1736716.4343000001</v>
      </c>
      <c r="AU164">
        <v>2135517.9859000002</v>
      </c>
      <c r="AV164">
        <v>1435269.7420999999</v>
      </c>
      <c r="AW164">
        <v>2084590.2683999999</v>
      </c>
      <c r="AX164">
        <v>3030328.4796000002</v>
      </c>
      <c r="AY164">
        <v>2661321.6905999999</v>
      </c>
      <c r="AZ164">
        <v>1122618.1839999999</v>
      </c>
    </row>
    <row r="165" spans="1:52" x14ac:dyDescent="0.35">
      <c r="A165" t="s">
        <v>212</v>
      </c>
      <c r="B165" t="s">
        <v>394</v>
      </c>
      <c r="C165">
        <v>2853.6819999999998</v>
      </c>
      <c r="D165">
        <v>3549.1855237999998</v>
      </c>
      <c r="E165">
        <v>3504.2395409999999</v>
      </c>
      <c r="F165">
        <v>4213.1634544999997</v>
      </c>
      <c r="G165">
        <v>3260.9517618999998</v>
      </c>
      <c r="H165">
        <v>2739.9621966999998</v>
      </c>
      <c r="I165">
        <v>2358.5508500000001</v>
      </c>
      <c r="J165">
        <v>2115.7620000000002</v>
      </c>
      <c r="K165">
        <v>2476.5368033</v>
      </c>
      <c r="L165">
        <v>2205.7005454999999</v>
      </c>
      <c r="M165">
        <v>2893.6465226999999</v>
      </c>
      <c r="N165">
        <v>3756.0371970000001</v>
      </c>
      <c r="O165">
        <v>3083.9594545</v>
      </c>
      <c r="P165">
        <v>3723.5284523999999</v>
      </c>
      <c r="Q165">
        <v>4011.6694839000002</v>
      </c>
      <c r="R165">
        <v>4766.014381</v>
      </c>
      <c r="S165">
        <v>7518.5427352999995</v>
      </c>
      <c r="AJ165">
        <v>1244860.3663999999</v>
      </c>
      <c r="AK165">
        <v>1094208.4750000001</v>
      </c>
      <c r="AL165">
        <v>1048773.8855999999</v>
      </c>
      <c r="AM165">
        <v>1116180.9028</v>
      </c>
      <c r="AN165">
        <v>1092390.1908</v>
      </c>
      <c r="AO165">
        <v>1120682.8844999999</v>
      </c>
      <c r="AP165">
        <v>1075062.1653</v>
      </c>
      <c r="AQ165">
        <v>1156386.0560000001</v>
      </c>
      <c r="AR165">
        <v>1349060.7923999999</v>
      </c>
      <c r="AS165">
        <v>1253832.9717999999</v>
      </c>
      <c r="AT165">
        <v>1349060.7923999999</v>
      </c>
      <c r="AU165">
        <v>1528989.0815999999</v>
      </c>
      <c r="AV165">
        <v>1513041.3467000001</v>
      </c>
      <c r="AW165">
        <v>1493106.6780999999</v>
      </c>
      <c r="AX165">
        <v>1684485.1328</v>
      </c>
      <c r="AY165">
        <v>1877852.0652999999</v>
      </c>
      <c r="AZ165">
        <v>1955559.3328</v>
      </c>
    </row>
    <row r="166" spans="1:52" x14ac:dyDescent="0.35">
      <c r="A166" t="s">
        <v>216</v>
      </c>
      <c r="B166" t="s">
        <v>397</v>
      </c>
      <c r="C166">
        <v>21125.256434999999</v>
      </c>
      <c r="D166">
        <v>24424.561142999999</v>
      </c>
      <c r="E166">
        <v>24013.716033000001</v>
      </c>
      <c r="F166">
        <v>14524.093181</v>
      </c>
      <c r="G166">
        <v>15455.326166000001</v>
      </c>
      <c r="H166">
        <v>15116.905769999999</v>
      </c>
      <c r="I166">
        <v>20784.6374</v>
      </c>
      <c r="J166">
        <v>28954.121438999999</v>
      </c>
      <c r="K166">
        <v>26898.166836</v>
      </c>
      <c r="L166">
        <v>21120.407136000002</v>
      </c>
      <c r="M166">
        <v>24197.424204999999</v>
      </c>
      <c r="N166">
        <v>22972.506576</v>
      </c>
      <c r="O166">
        <v>25911.003135999999</v>
      </c>
      <c r="P166">
        <v>30424.991262</v>
      </c>
      <c r="Q166">
        <v>38148.038371000002</v>
      </c>
      <c r="R166">
        <v>50327.134237999999</v>
      </c>
      <c r="S166">
        <v>45384.950793999997</v>
      </c>
      <c r="AJ166">
        <v>3846437.87</v>
      </c>
      <c r="AK166">
        <v>3459886.21</v>
      </c>
      <c r="AL166">
        <v>3139695.35</v>
      </c>
      <c r="AM166">
        <v>3418410.71</v>
      </c>
      <c r="AN166">
        <v>3452420.62</v>
      </c>
      <c r="AO166">
        <v>3508827.3</v>
      </c>
      <c r="AP166">
        <v>4067917.04</v>
      </c>
      <c r="AQ166">
        <v>4989951.6355999997</v>
      </c>
      <c r="AR166">
        <v>5178361.49</v>
      </c>
      <c r="AS166">
        <v>4635243.9400000004</v>
      </c>
      <c r="AT166">
        <v>5282178.6500000004</v>
      </c>
      <c r="AU166">
        <v>5359080.25</v>
      </c>
      <c r="AV166">
        <v>5331203.42</v>
      </c>
      <c r="AW166">
        <v>6176159.75</v>
      </c>
      <c r="AX166">
        <v>6721199.8399999999</v>
      </c>
      <c r="AY166">
        <v>7155693.8799999999</v>
      </c>
      <c r="AZ166">
        <v>8486623.1999999993</v>
      </c>
    </row>
    <row r="167" spans="1:52" x14ac:dyDescent="0.35">
      <c r="A167" t="s">
        <v>469</v>
      </c>
      <c r="B167" t="s">
        <v>482</v>
      </c>
      <c r="AZ167">
        <v>15055127.202</v>
      </c>
    </row>
    <row r="168" spans="1:52" x14ac:dyDescent="0.35">
      <c r="A168" t="s">
        <v>132</v>
      </c>
      <c r="B168" t="s">
        <v>316</v>
      </c>
      <c r="AZ168">
        <v>15055127.202</v>
      </c>
    </row>
    <row r="169" spans="1:52" x14ac:dyDescent="0.35">
      <c r="A169" t="s">
        <v>77</v>
      </c>
      <c r="B169" t="s">
        <v>31</v>
      </c>
      <c r="C169">
        <v>40032.572783000003</v>
      </c>
      <c r="D169">
        <v>38396.641047999998</v>
      </c>
      <c r="E169">
        <v>43412.992966999998</v>
      </c>
      <c r="F169">
        <v>27916.369682</v>
      </c>
      <c r="G169">
        <v>29441.499429</v>
      </c>
      <c r="H169">
        <v>26107.911410000001</v>
      </c>
      <c r="I169">
        <v>83747.305349999995</v>
      </c>
      <c r="J169">
        <v>65596.103048999998</v>
      </c>
      <c r="K169">
        <v>51365.601295</v>
      </c>
      <c r="L169">
        <v>37964.609182</v>
      </c>
      <c r="M169">
        <v>46205.510864000003</v>
      </c>
      <c r="N169">
        <v>52807.139015000001</v>
      </c>
      <c r="O169">
        <v>41719.662544999999</v>
      </c>
      <c r="P169">
        <v>43005.568024</v>
      </c>
      <c r="Q169">
        <v>39151.407952000001</v>
      </c>
      <c r="R169">
        <v>43862.237094999997</v>
      </c>
      <c r="S169">
        <v>11178.9115</v>
      </c>
      <c r="AJ169">
        <v>1470051</v>
      </c>
      <c r="AK169">
        <v>1293644.8799999999</v>
      </c>
      <c r="AL169">
        <v>1249596.8999999999</v>
      </c>
      <c r="AM169">
        <v>1347604.5</v>
      </c>
      <c r="AN169">
        <v>1239796.1399999999</v>
      </c>
      <c r="AO169">
        <v>1514489.34</v>
      </c>
      <c r="AP169">
        <v>2073232.98</v>
      </c>
      <c r="AQ169">
        <v>1475279.26</v>
      </c>
      <c r="AR169">
        <v>1509588.08</v>
      </c>
      <c r="AS169">
        <v>1788959.9</v>
      </c>
      <c r="AT169">
        <v>1759552.34</v>
      </c>
      <c r="AU169">
        <v>1951123.36</v>
      </c>
      <c r="AV169">
        <v>1843272.32</v>
      </c>
      <c r="AW169">
        <v>2000146.56</v>
      </c>
      <c r="AX169">
        <v>1864420.6</v>
      </c>
      <c r="AY169">
        <v>1884046.08</v>
      </c>
      <c r="AZ169">
        <v>1349578.78</v>
      </c>
    </row>
    <row r="170" spans="1:52" x14ac:dyDescent="0.35">
      <c r="A170" t="s">
        <v>219</v>
      </c>
      <c r="B170" t="s">
        <v>400</v>
      </c>
      <c r="C170">
        <v>292366.75896000001</v>
      </c>
      <c r="D170">
        <v>337865.93562</v>
      </c>
      <c r="E170">
        <v>367814.11189</v>
      </c>
      <c r="F170">
        <v>311965.67355000001</v>
      </c>
      <c r="G170">
        <v>374839.16064000002</v>
      </c>
      <c r="H170">
        <v>376079.51916000003</v>
      </c>
      <c r="I170">
        <v>509560.37459999998</v>
      </c>
      <c r="J170">
        <v>412859.32795000001</v>
      </c>
      <c r="K170">
        <v>412141.75586999999</v>
      </c>
      <c r="L170">
        <v>297601.74914000003</v>
      </c>
      <c r="M170">
        <v>314461.06874999998</v>
      </c>
      <c r="N170">
        <v>321433.97291000001</v>
      </c>
      <c r="O170">
        <v>329391.02273000003</v>
      </c>
      <c r="P170">
        <v>359924.41781000001</v>
      </c>
      <c r="Q170">
        <v>365676.01643999998</v>
      </c>
      <c r="R170">
        <v>563772.60014</v>
      </c>
      <c r="S170">
        <v>449504.34941000002</v>
      </c>
      <c r="AJ170">
        <v>486277422.30000001</v>
      </c>
      <c r="AK170">
        <v>529056805.13999999</v>
      </c>
      <c r="AL170">
        <v>490407223.67000002</v>
      </c>
      <c r="AM170">
        <v>511529798.82999998</v>
      </c>
      <c r="AN170">
        <v>486311930.00999999</v>
      </c>
      <c r="AO170">
        <v>506183876.25999999</v>
      </c>
      <c r="AP170">
        <v>401864092.14999998</v>
      </c>
      <c r="AQ170">
        <v>413220727.38999999</v>
      </c>
      <c r="AR170">
        <v>424616881.08999997</v>
      </c>
      <c r="AS170">
        <v>446327757.63</v>
      </c>
      <c r="AT170">
        <v>420561502.02999997</v>
      </c>
      <c r="AU170">
        <v>422745509.47000003</v>
      </c>
      <c r="AV170">
        <v>396538126.87</v>
      </c>
      <c r="AW170">
        <v>421565962.37</v>
      </c>
      <c r="AX170">
        <v>410254648.61000001</v>
      </c>
      <c r="AY170">
        <v>506251617.58999997</v>
      </c>
      <c r="AZ170">
        <v>584521214.96000004</v>
      </c>
    </row>
    <row r="171" spans="1:52" x14ac:dyDescent="0.35">
      <c r="A171" t="s">
        <v>78</v>
      </c>
      <c r="B171" t="s">
        <v>32</v>
      </c>
      <c r="C171">
        <v>1037765.2879</v>
      </c>
      <c r="D171">
        <v>1181481.8411000001</v>
      </c>
      <c r="E171">
        <v>1211635.577</v>
      </c>
      <c r="F171">
        <v>989868.92318000004</v>
      </c>
      <c r="G171">
        <v>1114783.4277999999</v>
      </c>
      <c r="H171">
        <v>1116321.5508999999</v>
      </c>
      <c r="I171">
        <v>1852836.4957999999</v>
      </c>
      <c r="J171">
        <v>1496043.1854999999</v>
      </c>
      <c r="K171">
        <v>1456701.7205999999</v>
      </c>
      <c r="L171">
        <v>763423.94499999995</v>
      </c>
      <c r="M171">
        <v>891430.67575000005</v>
      </c>
      <c r="N171">
        <v>897096.35750000004</v>
      </c>
      <c r="O171">
        <v>825533.05591</v>
      </c>
      <c r="P171">
        <v>1111117.0834999999</v>
      </c>
      <c r="Q171">
        <v>1114113.7186</v>
      </c>
      <c r="R171">
        <v>1518403.7268999999</v>
      </c>
      <c r="S171">
        <v>1466571.8504000001</v>
      </c>
      <c r="AJ171">
        <v>486277422.30000001</v>
      </c>
      <c r="AK171">
        <v>529056805.13999999</v>
      </c>
      <c r="AL171">
        <v>490407223.67000002</v>
      </c>
      <c r="AM171">
        <v>511529798.82999998</v>
      </c>
      <c r="AN171">
        <v>486311930.00999999</v>
      </c>
      <c r="AO171">
        <v>506183876.25999999</v>
      </c>
      <c r="AP171">
        <v>401864092.14999998</v>
      </c>
      <c r="AQ171">
        <v>413220727.38999999</v>
      </c>
      <c r="AR171">
        <v>424616881.08999997</v>
      </c>
      <c r="AS171">
        <v>446327757.63</v>
      </c>
      <c r="AT171">
        <v>420561502.02999997</v>
      </c>
      <c r="AU171">
        <v>422745509.47000003</v>
      </c>
      <c r="AV171">
        <v>396538126.87</v>
      </c>
      <c r="AW171">
        <v>421565962.37</v>
      </c>
      <c r="AX171">
        <v>410254648.61000001</v>
      </c>
      <c r="AY171">
        <v>506251617.58999997</v>
      </c>
      <c r="AZ171">
        <v>584521214.96000004</v>
      </c>
    </row>
    <row r="172" spans="1:52" x14ac:dyDescent="0.35">
      <c r="A172" t="s">
        <v>497</v>
      </c>
      <c r="B172" t="s">
        <v>498</v>
      </c>
      <c r="C172">
        <v>25394.909</v>
      </c>
      <c r="D172">
        <v>41001.990738</v>
      </c>
      <c r="E172">
        <v>37935.139000000003</v>
      </c>
      <c r="F172">
        <v>42190.237318</v>
      </c>
      <c r="G172">
        <v>36585.365786000002</v>
      </c>
      <c r="H172">
        <v>33170.641327999998</v>
      </c>
      <c r="I172">
        <v>27401.430950000002</v>
      </c>
      <c r="J172">
        <v>27947.339805</v>
      </c>
      <c r="K172">
        <v>29666.116065999999</v>
      </c>
      <c r="L172">
        <v>23027.029590999999</v>
      </c>
      <c r="M172">
        <v>28360.133658999999</v>
      </c>
      <c r="N172">
        <v>24268.387226999999</v>
      </c>
      <c r="O172">
        <v>11810.707863</v>
      </c>
      <c r="P172">
        <v>13036.794785</v>
      </c>
      <c r="Q172">
        <v>24166.019660999998</v>
      </c>
      <c r="R172">
        <v>15712.643047</v>
      </c>
      <c r="S172">
        <v>10495.995235</v>
      </c>
      <c r="AJ172">
        <v>2227562.0257999999</v>
      </c>
      <c r="AK172">
        <v>1938970.9941</v>
      </c>
      <c r="AL172">
        <v>1835258.5921</v>
      </c>
      <c r="AM172">
        <v>2191488.1468000002</v>
      </c>
      <c r="AN172">
        <v>1803693.9480000001</v>
      </c>
      <c r="AO172">
        <v>1836139.4336999999</v>
      </c>
      <c r="AP172">
        <v>2097800.5814999999</v>
      </c>
      <c r="AQ172">
        <v>1948924.4112</v>
      </c>
      <c r="AR172">
        <v>1763957.0481</v>
      </c>
      <c r="AS172">
        <v>1809071.0390999999</v>
      </c>
      <c r="AT172">
        <v>1813582.4382</v>
      </c>
      <c r="AU172">
        <v>1709820.2589</v>
      </c>
      <c r="AV172">
        <v>1678240.4652</v>
      </c>
      <c r="AW172">
        <v>2007572.5995</v>
      </c>
      <c r="AX172">
        <v>1957947.2094000001</v>
      </c>
      <c r="AY172">
        <v>3029994.2146999999</v>
      </c>
      <c r="AZ172">
        <v>2684539.7333999998</v>
      </c>
    </row>
    <row r="173" spans="1:52" x14ac:dyDescent="0.35">
      <c r="A173" t="s">
        <v>227</v>
      </c>
      <c r="B173" t="s">
        <v>408</v>
      </c>
      <c r="C173">
        <v>1543.8039564999999</v>
      </c>
      <c r="D173">
        <v>1991.6944762000001</v>
      </c>
      <c r="E173">
        <v>1911.3256392999999</v>
      </c>
      <c r="F173">
        <v>980.56409091</v>
      </c>
      <c r="G173">
        <v>1237.4920952</v>
      </c>
      <c r="H173">
        <v>1311.1643114999999</v>
      </c>
      <c r="I173">
        <v>2600.2298500000002</v>
      </c>
      <c r="J173">
        <v>2178.5441219999998</v>
      </c>
      <c r="K173">
        <v>1886.3091148000001</v>
      </c>
      <c r="L173">
        <v>1479.8269091</v>
      </c>
      <c r="M173">
        <v>1503.9660908999999</v>
      </c>
      <c r="N173">
        <v>1649.4183939</v>
      </c>
      <c r="O173">
        <v>1426.6175909000001</v>
      </c>
      <c r="P173">
        <v>1551.7884762000001</v>
      </c>
      <c r="Q173">
        <v>1859.2676128999999</v>
      </c>
      <c r="R173">
        <v>1927.8980951999999</v>
      </c>
      <c r="S173">
        <v>915.83382353000002</v>
      </c>
      <c r="AJ173">
        <v>858277</v>
      </c>
      <c r="AK173">
        <v>845431.37818</v>
      </c>
      <c r="AL173">
        <v>760745.26810999995</v>
      </c>
      <c r="AM173">
        <v>795745.39</v>
      </c>
      <c r="AN173">
        <v>827624.25</v>
      </c>
      <c r="AO173">
        <v>893834.19</v>
      </c>
      <c r="AP173">
        <v>991922.99</v>
      </c>
      <c r="AQ173">
        <v>1069167.92</v>
      </c>
      <c r="AR173">
        <v>1096142.3400000001</v>
      </c>
      <c r="AS173">
        <v>931843.6</v>
      </c>
      <c r="AT173">
        <v>1086333.46</v>
      </c>
      <c r="AU173">
        <v>969853.01</v>
      </c>
      <c r="AV173">
        <v>1029932.4</v>
      </c>
      <c r="AW173">
        <v>982957.91035000002</v>
      </c>
      <c r="AX173">
        <v>1080438.2941999999</v>
      </c>
      <c r="AY173">
        <v>1125568.98</v>
      </c>
      <c r="AZ173">
        <v>858277</v>
      </c>
    </row>
    <row r="174" spans="1:52" x14ac:dyDescent="0.35">
      <c r="A174" t="s">
        <v>218</v>
      </c>
      <c r="B174" t="s">
        <v>399</v>
      </c>
      <c r="C174">
        <v>1101.7059999999999</v>
      </c>
      <c r="D174">
        <v>2598.8015</v>
      </c>
      <c r="E174">
        <v>2595.0110328000001</v>
      </c>
      <c r="F174">
        <v>4476.9255455000002</v>
      </c>
      <c r="G174">
        <v>4110.5111905000003</v>
      </c>
      <c r="H174">
        <v>4727.8694261999999</v>
      </c>
      <c r="I174">
        <v>3370.4425500000002</v>
      </c>
      <c r="J174">
        <v>3530.8574389999999</v>
      </c>
      <c r="K174">
        <v>3238.8026393</v>
      </c>
      <c r="L174">
        <v>3095.2778182000002</v>
      </c>
      <c r="M174">
        <v>3848.1397272999998</v>
      </c>
      <c r="N174">
        <v>4357.4921514999996</v>
      </c>
      <c r="O174">
        <v>12257.598953999999</v>
      </c>
      <c r="P174">
        <v>14011.006713999999</v>
      </c>
      <c r="Q174">
        <v>20202.779339000001</v>
      </c>
      <c r="R174">
        <v>28597.905666999999</v>
      </c>
      <c r="S174">
        <v>16406.861706</v>
      </c>
      <c r="AJ174">
        <v>1649845.4161</v>
      </c>
      <c r="AK174">
        <v>1960269.2923000001</v>
      </c>
      <c r="AL174">
        <v>1816554.5348</v>
      </c>
      <c r="AM174">
        <v>1850868.6654000001</v>
      </c>
      <c r="AN174">
        <v>1641336.3637000001</v>
      </c>
      <c r="AO174">
        <v>1948396.1207000001</v>
      </c>
      <c r="AP174">
        <v>2041176.8883</v>
      </c>
      <c r="AQ174">
        <v>2152513.8095</v>
      </c>
      <c r="AR174">
        <v>2138718.1521999999</v>
      </c>
      <c r="AS174">
        <v>2262701.8133</v>
      </c>
      <c r="AT174">
        <v>2244104.2640999998</v>
      </c>
      <c r="AU174">
        <v>2376018.2592000002</v>
      </c>
      <c r="AV174">
        <v>2574019.7807999998</v>
      </c>
      <c r="AW174">
        <v>3887429.8741000001</v>
      </c>
      <c r="AX174">
        <v>4017013.2559000002</v>
      </c>
      <c r="AY174">
        <v>4327029.0573000005</v>
      </c>
      <c r="AZ174">
        <v>2426897.5299</v>
      </c>
    </row>
    <row r="175" spans="1:52" x14ac:dyDescent="0.35">
      <c r="A175" t="s">
        <v>222</v>
      </c>
      <c r="B175" t="s">
        <v>403</v>
      </c>
      <c r="C175">
        <v>9274.1538261000005</v>
      </c>
      <c r="D175">
        <v>12802.840475999999</v>
      </c>
      <c r="E175">
        <v>12560.505491</v>
      </c>
      <c r="F175">
        <v>13481.159089999999</v>
      </c>
      <c r="G175">
        <v>12326.217000000001</v>
      </c>
      <c r="H175">
        <v>12269.181278</v>
      </c>
      <c r="I175">
        <v>11593.7245</v>
      </c>
      <c r="J175">
        <v>13138.076756</v>
      </c>
      <c r="K175">
        <v>14525.20577</v>
      </c>
      <c r="L175">
        <v>10844.378044999999</v>
      </c>
      <c r="M175">
        <v>12713.423863</v>
      </c>
      <c r="N175">
        <v>13596.536271999999</v>
      </c>
      <c r="O175">
        <v>16727.365136</v>
      </c>
      <c r="P175">
        <v>18915.325857</v>
      </c>
      <c r="Q175">
        <v>19277.224709999999</v>
      </c>
      <c r="R175">
        <v>26107.346667000002</v>
      </c>
      <c r="S175">
        <v>15609.323646999999</v>
      </c>
      <c r="AJ175">
        <v>2803773.1</v>
      </c>
      <c r="AK175">
        <v>2456279.9750000001</v>
      </c>
      <c r="AL175">
        <v>1823037.2649999999</v>
      </c>
      <c r="AM175">
        <v>1972140.64</v>
      </c>
      <c r="AN175">
        <v>1974128.6850000001</v>
      </c>
      <c r="AO175">
        <v>2343403.44</v>
      </c>
      <c r="AP175">
        <v>2327461.92</v>
      </c>
      <c r="AQ175">
        <v>2921283.54</v>
      </c>
      <c r="AR175">
        <v>3185683.5460000001</v>
      </c>
      <c r="AS175">
        <v>2629710.7488000002</v>
      </c>
      <c r="AT175">
        <v>2936104.5166000002</v>
      </c>
      <c r="AU175">
        <v>3463669.9446</v>
      </c>
      <c r="AV175">
        <v>2964511.8857999998</v>
      </c>
      <c r="AW175">
        <v>3234381.8931999998</v>
      </c>
      <c r="AX175">
        <v>2779863.986</v>
      </c>
      <c r="AY175">
        <v>3065966.7757999999</v>
      </c>
      <c r="AZ175">
        <v>1390178.5930000001</v>
      </c>
    </row>
    <row r="176" spans="1:52" x14ac:dyDescent="0.35">
      <c r="A176" t="s">
        <v>149</v>
      </c>
      <c r="B176" t="s">
        <v>333</v>
      </c>
      <c r="C176">
        <v>2960.5031303999999</v>
      </c>
      <c r="D176">
        <v>3305.5898333</v>
      </c>
      <c r="E176">
        <v>3420.1517213000002</v>
      </c>
      <c r="F176">
        <v>2607.9139544999998</v>
      </c>
      <c r="G176">
        <v>2308.0290476</v>
      </c>
      <c r="H176">
        <v>2152.1812951000002</v>
      </c>
      <c r="I176">
        <v>2413.7797</v>
      </c>
      <c r="J176">
        <v>3170.4646828999998</v>
      </c>
      <c r="K176">
        <v>3742.9949016</v>
      </c>
      <c r="L176">
        <v>2844.1462726999998</v>
      </c>
      <c r="M176">
        <v>3235.5872273</v>
      </c>
      <c r="N176">
        <v>3249.3353938999999</v>
      </c>
      <c r="O176">
        <v>1849.0381364</v>
      </c>
      <c r="P176">
        <v>2851.5045476</v>
      </c>
      <c r="Q176">
        <v>4587.9342581000001</v>
      </c>
      <c r="R176">
        <v>9197.9755714000003</v>
      </c>
      <c r="S176">
        <v>7946.5367941000004</v>
      </c>
      <c r="AJ176">
        <v>1512995.4966</v>
      </c>
      <c r="AK176">
        <v>1412925.7056</v>
      </c>
      <c r="AL176">
        <v>1309383.7768000001</v>
      </c>
      <c r="AM176">
        <v>1266233.6296000001</v>
      </c>
      <c r="AN176">
        <v>1220107.6102</v>
      </c>
      <c r="AO176">
        <v>1288876.3565</v>
      </c>
      <c r="AP176">
        <v>1367847.9715</v>
      </c>
      <c r="AQ176">
        <v>1296326.5089</v>
      </c>
      <c r="AR176">
        <v>1417933.2825</v>
      </c>
      <c r="AS176">
        <v>1361215.9512</v>
      </c>
      <c r="AT176">
        <v>1529875.3838</v>
      </c>
      <c r="AU176">
        <v>1458241.0366</v>
      </c>
      <c r="AV176">
        <v>1401523.3707999999</v>
      </c>
      <c r="AW176">
        <v>1522421.5530000001</v>
      </c>
      <c r="AX176">
        <v>1782728.5338999999</v>
      </c>
      <c r="AY176">
        <v>1967097.4564</v>
      </c>
      <c r="AZ176">
        <v>1656575.6923</v>
      </c>
    </row>
    <row r="177" spans="1:52" x14ac:dyDescent="0.35">
      <c r="A177" t="s">
        <v>198</v>
      </c>
      <c r="B177" t="s">
        <v>380</v>
      </c>
      <c r="C177">
        <v>3539.3409565000002</v>
      </c>
      <c r="D177">
        <v>3902.6596666999999</v>
      </c>
      <c r="E177">
        <v>3545.1486393</v>
      </c>
      <c r="F177">
        <v>1403.9092273000001</v>
      </c>
      <c r="G177">
        <v>2032.6747381</v>
      </c>
      <c r="H177">
        <v>2127.6782131</v>
      </c>
      <c r="I177">
        <v>2822.1918999999998</v>
      </c>
      <c r="J177">
        <v>2553.8310000000001</v>
      </c>
      <c r="K177">
        <v>2185.7187705000001</v>
      </c>
      <c r="L177">
        <v>1142.5</v>
      </c>
      <c r="M177">
        <v>1566.5140226999999</v>
      </c>
      <c r="N177">
        <v>2347.8180455000002</v>
      </c>
      <c r="O177">
        <v>3216.5207727000002</v>
      </c>
      <c r="P177">
        <v>5554.3457142999996</v>
      </c>
      <c r="Q177">
        <v>5991.6469515999997</v>
      </c>
      <c r="R177">
        <v>4984.5315238000003</v>
      </c>
      <c r="S177">
        <v>8166.3190587999998</v>
      </c>
      <c r="AJ177">
        <v>8776153.2240999993</v>
      </c>
      <c r="AK177">
        <v>8804220.6166999992</v>
      </c>
      <c r="AL177">
        <v>7592934.2572999997</v>
      </c>
      <c r="AM177">
        <v>8496742.5206000004</v>
      </c>
      <c r="AN177">
        <v>7620644.9874999998</v>
      </c>
      <c r="AO177">
        <v>6417801.4164000005</v>
      </c>
      <c r="AP177">
        <v>7286592.2111</v>
      </c>
      <c r="AQ177">
        <v>7592960.8616000004</v>
      </c>
      <c r="AR177">
        <v>8372809.9226000002</v>
      </c>
      <c r="AS177">
        <v>8665806.0934999995</v>
      </c>
      <c r="AT177">
        <v>9681168.8851999994</v>
      </c>
      <c r="AU177">
        <v>9472936.1992000006</v>
      </c>
      <c r="AV177">
        <v>8458073.5518999994</v>
      </c>
      <c r="AW177">
        <v>7123357.3699000003</v>
      </c>
      <c r="AX177">
        <v>7302616.3476999998</v>
      </c>
      <c r="AY177">
        <v>7798892.3662999999</v>
      </c>
      <c r="AZ177">
        <v>4977004.9231000002</v>
      </c>
    </row>
    <row r="178" spans="1:52" x14ac:dyDescent="0.35">
      <c r="A178" t="s">
        <v>199</v>
      </c>
      <c r="B178" t="s">
        <v>381</v>
      </c>
      <c r="C178">
        <v>75724.537435000006</v>
      </c>
      <c r="D178">
        <v>93653.388976000002</v>
      </c>
      <c r="E178">
        <v>93769.207229000007</v>
      </c>
      <c r="F178">
        <v>98600.132817999998</v>
      </c>
      <c r="G178">
        <v>92236.427762000007</v>
      </c>
      <c r="H178">
        <v>99057.911573999998</v>
      </c>
      <c r="I178">
        <v>99984.838300000003</v>
      </c>
      <c r="J178">
        <v>93596.883732000002</v>
      </c>
      <c r="K178">
        <v>86934.891279000003</v>
      </c>
      <c r="L178">
        <v>63121.059500000003</v>
      </c>
      <c r="M178">
        <v>70261.911932000003</v>
      </c>
      <c r="N178">
        <v>74042.767544999995</v>
      </c>
      <c r="O178">
        <v>83549.064773000006</v>
      </c>
      <c r="P178">
        <v>129620.45676</v>
      </c>
      <c r="Q178">
        <v>116227.42356</v>
      </c>
      <c r="R178">
        <v>67466.983523999996</v>
      </c>
      <c r="S178">
        <v>59374.300646999996</v>
      </c>
      <c r="AJ178">
        <v>8776153.2240999993</v>
      </c>
      <c r="AK178">
        <v>8804220.6166999992</v>
      </c>
      <c r="AL178">
        <v>7592934.2572999997</v>
      </c>
      <c r="AM178">
        <v>8496742.5206000004</v>
      </c>
      <c r="AN178">
        <v>7620644.9874999998</v>
      </c>
      <c r="AO178">
        <v>6417801.4164000005</v>
      </c>
      <c r="AP178">
        <v>7286592.2111</v>
      </c>
      <c r="AQ178">
        <v>7592960.8616000004</v>
      </c>
      <c r="AR178">
        <v>8372809.9226000002</v>
      </c>
      <c r="AS178">
        <v>8665806.0934999995</v>
      </c>
      <c r="AT178">
        <v>9681168.8851999994</v>
      </c>
      <c r="AU178">
        <v>9472936.1992000006</v>
      </c>
      <c r="AV178">
        <v>8458073.5518999994</v>
      </c>
      <c r="AW178">
        <v>7123357.3699000003</v>
      </c>
      <c r="AX178">
        <v>7302616.3476999998</v>
      </c>
      <c r="AY178">
        <v>7798892.3662999999</v>
      </c>
      <c r="AZ178">
        <v>4977004.9231000002</v>
      </c>
    </row>
    <row r="179" spans="1:52" x14ac:dyDescent="0.35">
      <c r="A179" t="s">
        <v>272</v>
      </c>
      <c r="B179" t="s">
        <v>453</v>
      </c>
      <c r="C179">
        <v>42785.055869999997</v>
      </c>
      <c r="D179">
        <v>37722.602524000002</v>
      </c>
      <c r="E179">
        <v>45608.021328000003</v>
      </c>
      <c r="F179">
        <v>10804.265545</v>
      </c>
      <c r="G179">
        <v>9392.5831429000009</v>
      </c>
      <c r="H179">
        <v>11352.352097999999</v>
      </c>
      <c r="I179">
        <v>16076.4943</v>
      </c>
      <c r="J179">
        <v>20751.593268000001</v>
      </c>
      <c r="K179">
        <v>20717.241851999999</v>
      </c>
      <c r="L179">
        <v>18034.213409</v>
      </c>
      <c r="M179">
        <v>17273.527454999999</v>
      </c>
      <c r="N179">
        <v>15633.497439000001</v>
      </c>
      <c r="O179">
        <v>38023.184909000003</v>
      </c>
      <c r="P179">
        <v>22958.640143000001</v>
      </c>
      <c r="Q179">
        <v>15639.314758</v>
      </c>
      <c r="R179">
        <v>0</v>
      </c>
      <c r="S179">
        <v>0</v>
      </c>
      <c r="AJ179">
        <v>6997716.0609999998</v>
      </c>
      <c r="AK179">
        <v>6954221.483</v>
      </c>
      <c r="AL179">
        <v>7192349.5489999996</v>
      </c>
      <c r="AM179">
        <v>7492214.5209999997</v>
      </c>
      <c r="AN179">
        <v>7302594.0240000002</v>
      </c>
      <c r="AO179">
        <v>7509853.6370000001</v>
      </c>
      <c r="AP179">
        <v>7553951.4270000001</v>
      </c>
      <c r="AQ179">
        <v>7659786.1229999997</v>
      </c>
      <c r="AR179">
        <v>7695064.3550000004</v>
      </c>
      <c r="AS179">
        <v>7787669.7139999997</v>
      </c>
      <c r="AT179">
        <v>7968344.8810000001</v>
      </c>
      <c r="AU179">
        <v>8083507.1749999998</v>
      </c>
      <c r="AV179">
        <v>8229674.7019999996</v>
      </c>
      <c r="AW179">
        <v>8296114.4869999997</v>
      </c>
      <c r="AX179">
        <v>8309402.4440000001</v>
      </c>
    </row>
    <row r="180" spans="1:52" x14ac:dyDescent="0.35">
      <c r="A180" t="s">
        <v>225</v>
      </c>
      <c r="B180" t="s">
        <v>406</v>
      </c>
      <c r="C180">
        <v>8900.3323478000002</v>
      </c>
      <c r="D180">
        <v>8715.3542619</v>
      </c>
      <c r="E180">
        <v>8156.4948525</v>
      </c>
      <c r="F180">
        <v>4650.5264999999999</v>
      </c>
      <c r="G180">
        <v>4226.4824523999996</v>
      </c>
      <c r="H180">
        <v>4357.1861474999996</v>
      </c>
      <c r="I180">
        <v>7597.8502500000004</v>
      </c>
      <c r="J180">
        <v>7370.4441463000003</v>
      </c>
      <c r="K180">
        <v>6651.7714426000002</v>
      </c>
      <c r="L180">
        <v>3286.7698181999999</v>
      </c>
      <c r="M180">
        <v>3270.6109772999998</v>
      </c>
      <c r="N180">
        <v>3363.1615455000001</v>
      </c>
      <c r="O180">
        <v>4348.9176817999996</v>
      </c>
      <c r="P180">
        <v>4223.5955000000004</v>
      </c>
      <c r="Q180">
        <v>4257.1714355000004</v>
      </c>
      <c r="R180">
        <v>6122.1610952000001</v>
      </c>
      <c r="S180">
        <v>2098.4511471000001</v>
      </c>
      <c r="AJ180">
        <v>894259.1</v>
      </c>
      <c r="AK180">
        <v>728242.2</v>
      </c>
      <c r="AL180">
        <v>722822.38</v>
      </c>
      <c r="AM180">
        <v>809337.8</v>
      </c>
      <c r="AN180">
        <v>697705</v>
      </c>
      <c r="AO180">
        <v>700144.42</v>
      </c>
      <c r="AP180">
        <v>857746.65</v>
      </c>
      <c r="AQ180">
        <v>658303.12</v>
      </c>
      <c r="AR180">
        <v>627841.61</v>
      </c>
      <c r="AS180">
        <v>572157.21</v>
      </c>
      <c r="AT180">
        <v>623665.28</v>
      </c>
      <c r="AU180">
        <v>615312.62</v>
      </c>
      <c r="AV180">
        <v>572157.21</v>
      </c>
      <c r="AW180">
        <v>588862.53</v>
      </c>
      <c r="AX180">
        <v>556844</v>
      </c>
      <c r="AY180">
        <v>626449.5</v>
      </c>
      <c r="AZ180">
        <v>466647.27</v>
      </c>
    </row>
    <row r="181" spans="1:52" x14ac:dyDescent="0.35">
      <c r="A181" t="s">
        <v>79</v>
      </c>
      <c r="B181" t="s">
        <v>33</v>
      </c>
      <c r="C181">
        <v>397454.88260999997</v>
      </c>
      <c r="D181">
        <v>370885.91024</v>
      </c>
      <c r="E181">
        <v>366500.51212999999</v>
      </c>
      <c r="F181">
        <v>388843.72681999998</v>
      </c>
      <c r="G181">
        <v>375311.39562000002</v>
      </c>
      <c r="H181">
        <v>358049.90025000001</v>
      </c>
      <c r="I181">
        <v>582267.50789999997</v>
      </c>
      <c r="J181">
        <v>506326.87261000002</v>
      </c>
      <c r="K181">
        <v>487228.50474</v>
      </c>
      <c r="L181">
        <v>295685.39864000003</v>
      </c>
      <c r="M181">
        <v>314516.15895000001</v>
      </c>
      <c r="N181">
        <v>293966.57858999999</v>
      </c>
      <c r="O181">
        <v>281128.12991000002</v>
      </c>
      <c r="P181">
        <v>309120.86871000001</v>
      </c>
      <c r="Q181">
        <v>306240.59135</v>
      </c>
      <c r="R181">
        <v>538348.64905000001</v>
      </c>
      <c r="S181">
        <v>406250.90231999999</v>
      </c>
      <c r="AJ181">
        <v>34190675.053999998</v>
      </c>
      <c r="AK181">
        <v>33489841.305</v>
      </c>
      <c r="AL181">
        <v>32802605.888999999</v>
      </c>
      <c r="AM181">
        <v>34050585.181000002</v>
      </c>
      <c r="AN181">
        <v>31348548.875</v>
      </c>
      <c r="AO181">
        <v>32442899.594000001</v>
      </c>
      <c r="AP181">
        <v>27478646.866999999</v>
      </c>
      <c r="AQ181">
        <v>31750023.596999999</v>
      </c>
      <c r="AR181">
        <v>34401164.994000003</v>
      </c>
      <c r="AS181">
        <v>34660796.428000003</v>
      </c>
      <c r="AT181">
        <v>30725757.508000001</v>
      </c>
      <c r="AU181">
        <v>30898578.048</v>
      </c>
      <c r="AV181">
        <v>29196846.763</v>
      </c>
      <c r="AW181">
        <v>30153057.675999999</v>
      </c>
      <c r="AX181">
        <v>33546999.517999999</v>
      </c>
      <c r="AY181">
        <v>41457958.515000001</v>
      </c>
      <c r="AZ181">
        <v>49151844.715000004</v>
      </c>
    </row>
    <row r="182" spans="1:52" x14ac:dyDescent="0.35">
      <c r="A182" t="s">
        <v>226</v>
      </c>
      <c r="B182" t="s">
        <v>407</v>
      </c>
      <c r="C182">
        <v>4359.9698261000003</v>
      </c>
      <c r="D182">
        <v>5051.0840238000001</v>
      </c>
      <c r="E182">
        <v>5082.5417377000003</v>
      </c>
      <c r="F182">
        <v>5726.3673636000003</v>
      </c>
      <c r="G182">
        <v>5074.4925952000003</v>
      </c>
      <c r="H182">
        <v>5390.2862131000002</v>
      </c>
      <c r="I182">
        <v>4575.4333500000002</v>
      </c>
      <c r="J182">
        <v>4025.7979512000002</v>
      </c>
      <c r="K182">
        <v>3874.2207705000001</v>
      </c>
      <c r="L182">
        <v>5877.2989545</v>
      </c>
      <c r="M182">
        <v>5616.2465227000002</v>
      </c>
      <c r="N182">
        <v>5963.9898635999998</v>
      </c>
      <c r="O182">
        <v>6662.0365909000002</v>
      </c>
      <c r="P182">
        <v>7671.8558571000003</v>
      </c>
      <c r="Q182">
        <v>7111.7862257999996</v>
      </c>
      <c r="R182">
        <v>6311.8010000000004</v>
      </c>
      <c r="S182">
        <v>7364.9361176000002</v>
      </c>
      <c r="AJ182">
        <v>646615.27688000002</v>
      </c>
      <c r="AK182">
        <v>656893.84342000005</v>
      </c>
      <c r="AL182">
        <v>626525.35137000005</v>
      </c>
      <c r="AM182">
        <v>747532.11199999996</v>
      </c>
      <c r="AN182">
        <v>764818.79209</v>
      </c>
      <c r="AO182">
        <v>783039.88731999998</v>
      </c>
      <c r="AP182">
        <v>791916.83114999998</v>
      </c>
      <c r="AQ182">
        <v>747532.11199999996</v>
      </c>
      <c r="AR182">
        <v>712491.54425000004</v>
      </c>
      <c r="AS182">
        <v>726507.77138000005</v>
      </c>
      <c r="AT182">
        <v>714827.58213</v>
      </c>
      <c r="AU182">
        <v>959148.00086999999</v>
      </c>
      <c r="AV182">
        <v>867827.5821</v>
      </c>
      <c r="AW182">
        <v>929653.20723000006</v>
      </c>
      <c r="AX182">
        <v>902427.24387000001</v>
      </c>
      <c r="AY182">
        <v>992613.24750000006</v>
      </c>
      <c r="AZ182">
        <v>942567.56024000002</v>
      </c>
    </row>
    <row r="183" spans="1:52" x14ac:dyDescent="0.35">
      <c r="A183" t="s">
        <v>223</v>
      </c>
      <c r="B183" t="s">
        <v>404</v>
      </c>
      <c r="C183">
        <v>82856.735174000001</v>
      </c>
      <c r="D183">
        <v>77875.712094999995</v>
      </c>
      <c r="E183">
        <v>83399.734049000006</v>
      </c>
      <c r="F183">
        <v>81596.326272999999</v>
      </c>
      <c r="G183">
        <v>85851.292667000002</v>
      </c>
      <c r="H183">
        <v>84895.687852000003</v>
      </c>
      <c r="I183">
        <v>63724.948700000001</v>
      </c>
      <c r="J183">
        <v>82010.871218999993</v>
      </c>
      <c r="K183">
        <v>87887.100114999994</v>
      </c>
      <c r="L183">
        <v>105983.034</v>
      </c>
      <c r="M183">
        <v>145627.99045000001</v>
      </c>
      <c r="N183">
        <v>126366.01289</v>
      </c>
      <c r="O183">
        <v>82677.587773000007</v>
      </c>
      <c r="P183">
        <v>85868.922476000007</v>
      </c>
      <c r="Q183">
        <v>88360.469016000003</v>
      </c>
      <c r="R183">
        <v>95928.219524</v>
      </c>
      <c r="S183">
        <v>79500.101706000001</v>
      </c>
      <c r="AJ183">
        <v>24482381</v>
      </c>
      <c r="AK183">
        <v>24283441.600000001</v>
      </c>
      <c r="AL183">
        <v>23139435.495999999</v>
      </c>
      <c r="AM183">
        <v>25548268.52</v>
      </c>
      <c r="AN183">
        <v>24350593.359999999</v>
      </c>
      <c r="AO183">
        <v>25679360</v>
      </c>
      <c r="AP183">
        <v>28240876.16</v>
      </c>
      <c r="AQ183">
        <v>33428106.879999999</v>
      </c>
      <c r="AR183">
        <v>35528817.600000001</v>
      </c>
      <c r="AS183">
        <v>33282520.98</v>
      </c>
      <c r="AT183">
        <v>33308266.5</v>
      </c>
      <c r="AU183">
        <v>32021388.359999999</v>
      </c>
      <c r="AV183">
        <v>30858959.300000001</v>
      </c>
      <c r="AW183">
        <v>30306644.940000001</v>
      </c>
      <c r="AX183">
        <v>30967809.600000001</v>
      </c>
      <c r="AY183">
        <v>32171686.399999999</v>
      </c>
      <c r="AZ183">
        <v>30459955.188999999</v>
      </c>
    </row>
    <row r="184" spans="1:52" x14ac:dyDescent="0.35">
      <c r="A184" t="s">
        <v>224</v>
      </c>
      <c r="B184" t="s">
        <v>405</v>
      </c>
      <c r="C184">
        <v>1085.7449999999999</v>
      </c>
      <c r="D184">
        <v>1733.710619</v>
      </c>
      <c r="E184">
        <v>1699.8983607</v>
      </c>
      <c r="F184">
        <v>1446.4733636000001</v>
      </c>
      <c r="G184">
        <v>1489.2167618999999</v>
      </c>
      <c r="H184">
        <v>1420.0387377</v>
      </c>
      <c r="I184">
        <v>1601.8623</v>
      </c>
      <c r="J184">
        <v>1762.7832682999999</v>
      </c>
      <c r="K184">
        <v>1846.0006393000001</v>
      </c>
      <c r="L184">
        <v>907.16672727000002</v>
      </c>
      <c r="M184">
        <v>896.66834090999998</v>
      </c>
      <c r="N184">
        <v>782.60796970000001</v>
      </c>
      <c r="O184">
        <v>442.16386363999999</v>
      </c>
      <c r="P184">
        <v>620.48973809999995</v>
      </c>
      <c r="Q184">
        <v>584.18120968000005</v>
      </c>
      <c r="R184">
        <v>834.37595237999994</v>
      </c>
      <c r="S184">
        <v>530.81885294000006</v>
      </c>
      <c r="AJ184">
        <v>589325.66</v>
      </c>
      <c r="AK184">
        <v>587915.79</v>
      </c>
      <c r="AL184">
        <v>516012.42</v>
      </c>
      <c r="AM184">
        <v>521651.9</v>
      </c>
      <c r="AN184">
        <v>501913.72</v>
      </c>
      <c r="AO184">
        <v>503323.59</v>
      </c>
      <c r="AP184">
        <v>596375.01</v>
      </c>
      <c r="AQ184">
        <v>726083.05</v>
      </c>
      <c r="AR184">
        <v>652769.81000000006</v>
      </c>
      <c r="AS184">
        <v>559718.39</v>
      </c>
      <c r="AT184">
        <v>593555.27</v>
      </c>
      <c r="AU184">
        <v>555488.78</v>
      </c>
      <c r="AV184">
        <v>538570.34</v>
      </c>
      <c r="AW184">
        <v>456797.88</v>
      </c>
      <c r="AX184">
        <v>444109.05</v>
      </c>
      <c r="AY184">
        <v>499093.98</v>
      </c>
      <c r="AZ184">
        <v>200201.54</v>
      </c>
    </row>
    <row r="185" spans="1:52" x14ac:dyDescent="0.35">
      <c r="A185" t="s">
        <v>221</v>
      </c>
      <c r="B185" t="s">
        <v>402</v>
      </c>
      <c r="C185">
        <v>97.270260870000001</v>
      </c>
      <c r="D185">
        <v>70.828547619000005</v>
      </c>
      <c r="E185">
        <v>62.076508197000003</v>
      </c>
      <c r="F185">
        <v>28.831227273</v>
      </c>
      <c r="G185">
        <v>32.679642856999997</v>
      </c>
      <c r="H185">
        <v>35.584229508</v>
      </c>
      <c r="I185">
        <v>82.796899999999994</v>
      </c>
      <c r="J185">
        <v>105.42668292</v>
      </c>
      <c r="K185">
        <v>101.38059016</v>
      </c>
      <c r="L185">
        <v>24.959772727000001</v>
      </c>
      <c r="M185">
        <v>75.538363636</v>
      </c>
      <c r="N185">
        <v>64.005787878999996</v>
      </c>
      <c r="O185">
        <v>32.618181817999996</v>
      </c>
      <c r="P185">
        <v>35.207119048000003</v>
      </c>
      <c r="Q185">
        <v>29.758838709999999</v>
      </c>
      <c r="R185">
        <v>284.22371428999998</v>
      </c>
      <c r="S185">
        <v>0</v>
      </c>
      <c r="AJ185">
        <v>353786.94764000003</v>
      </c>
      <c r="AK185">
        <v>338571.29823999997</v>
      </c>
      <c r="AL185">
        <v>328321.23800000001</v>
      </c>
      <c r="AM185">
        <v>376048.71555999998</v>
      </c>
      <c r="AN185">
        <v>384694.85571999999</v>
      </c>
      <c r="AO185">
        <v>408397.80407999997</v>
      </c>
      <c r="AP185">
        <v>325119.1384</v>
      </c>
      <c r="AQ185">
        <v>293410.08424</v>
      </c>
      <c r="AR185">
        <v>299175.57711999997</v>
      </c>
      <c r="AS185">
        <v>295972.70640000002</v>
      </c>
      <c r="AT185">
        <v>289886.18959999998</v>
      </c>
      <c r="AU185">
        <v>272748.1666</v>
      </c>
      <c r="AV185">
        <v>302696.73</v>
      </c>
      <c r="AW185">
        <v>297253.88896000001</v>
      </c>
      <c r="AX185">
        <v>286202.93968000001</v>
      </c>
      <c r="AY185">
        <v>400868.00767999998</v>
      </c>
    </row>
    <row r="186" spans="1:52" x14ac:dyDescent="0.35">
      <c r="A186" t="s">
        <v>228</v>
      </c>
      <c r="B186" t="s">
        <v>409</v>
      </c>
      <c r="C186">
        <v>11966.001738999999</v>
      </c>
      <c r="D186">
        <v>13387.235403999999</v>
      </c>
      <c r="E186">
        <v>12637.183016000001</v>
      </c>
      <c r="F186">
        <v>5528.8817273000004</v>
      </c>
      <c r="G186">
        <v>5473.3961429000001</v>
      </c>
      <c r="H186">
        <v>5118.9924425999998</v>
      </c>
      <c r="I186">
        <v>5168.6480000000001</v>
      </c>
      <c r="J186">
        <v>4705.9128536999997</v>
      </c>
      <c r="K186">
        <v>4467.5215245999998</v>
      </c>
      <c r="L186">
        <v>2313.9132727000001</v>
      </c>
      <c r="M186">
        <v>2670.3804318000002</v>
      </c>
      <c r="N186">
        <v>3558.6656364</v>
      </c>
      <c r="O186">
        <v>5281.4229999999998</v>
      </c>
      <c r="P186">
        <v>6447.2919762000001</v>
      </c>
      <c r="Q186">
        <v>6574.5952581000001</v>
      </c>
      <c r="R186">
        <v>6668.3538095000004</v>
      </c>
      <c r="S186">
        <v>4273.9119706000001</v>
      </c>
      <c r="AJ186">
        <v>638110.79252000002</v>
      </c>
      <c r="AK186">
        <v>604378.06339999998</v>
      </c>
      <c r="AL186">
        <v>427611.83552000002</v>
      </c>
      <c r="AM186">
        <v>548580.97320000001</v>
      </c>
      <c r="AN186">
        <v>500755.96528</v>
      </c>
      <c r="AO186">
        <v>517635.37984000001</v>
      </c>
      <c r="AP186">
        <v>579526.56655999995</v>
      </c>
      <c r="AQ186">
        <v>599219.21687999996</v>
      </c>
      <c r="AR186">
        <v>534279.29561999999</v>
      </c>
      <c r="AS186">
        <v>463607.43112000002</v>
      </c>
      <c r="AT186">
        <v>528625.54645999998</v>
      </c>
      <c r="AU186">
        <v>716299.81874000002</v>
      </c>
      <c r="AV186">
        <v>767261.86118000001</v>
      </c>
      <c r="AW186">
        <v>634194.30591999996</v>
      </c>
      <c r="AX186">
        <v>645519.20423999999</v>
      </c>
      <c r="AY186">
        <v>642687.97965999995</v>
      </c>
      <c r="AZ186">
        <v>485040.33883999998</v>
      </c>
    </row>
    <row r="187" spans="1:52" x14ac:dyDescent="0.35">
      <c r="A187" t="s">
        <v>230</v>
      </c>
      <c r="B187" t="s">
        <v>411</v>
      </c>
      <c r="C187">
        <v>157091.02734999999</v>
      </c>
      <c r="D187">
        <v>171224.65676000001</v>
      </c>
      <c r="E187">
        <v>187551.77927999999</v>
      </c>
      <c r="F187">
        <v>187054.40182</v>
      </c>
      <c r="G187">
        <v>196575.05600000001</v>
      </c>
      <c r="H187">
        <v>212672.36008000001</v>
      </c>
      <c r="I187">
        <v>213729.76949999999</v>
      </c>
      <c r="J187">
        <v>241382.37946</v>
      </c>
      <c r="K187">
        <v>223939.73397</v>
      </c>
      <c r="L187">
        <v>136364.17585999999</v>
      </c>
      <c r="M187">
        <v>182079.96273</v>
      </c>
      <c r="N187">
        <v>183516.07947</v>
      </c>
      <c r="O187">
        <v>170944.3075</v>
      </c>
      <c r="P187">
        <v>214982.98452</v>
      </c>
      <c r="Q187">
        <v>209741.94721000001</v>
      </c>
      <c r="R187">
        <v>219522.65562000001</v>
      </c>
      <c r="S187">
        <v>189591.2035</v>
      </c>
      <c r="AJ187">
        <v>41746174.361000001</v>
      </c>
      <c r="AK187">
        <v>41231636.468000002</v>
      </c>
      <c r="AL187">
        <v>37663881.816</v>
      </c>
      <c r="AM187">
        <v>37749481.546999998</v>
      </c>
      <c r="AN187">
        <v>29754466.635000002</v>
      </c>
      <c r="AO187">
        <v>32632660.344000001</v>
      </c>
      <c r="AP187">
        <v>33985930.773000002</v>
      </c>
      <c r="AQ187">
        <v>25438058.063999999</v>
      </c>
      <c r="AR187">
        <v>25900617.713</v>
      </c>
      <c r="AS187">
        <v>23211201.719999999</v>
      </c>
      <c r="AT187">
        <v>30063216.988000002</v>
      </c>
      <c r="AU187">
        <v>31553530.309</v>
      </c>
      <c r="AV187">
        <v>34260076.340000004</v>
      </c>
      <c r="AW187">
        <v>41129221.645999998</v>
      </c>
      <c r="AX187">
        <v>40973338.314000003</v>
      </c>
      <c r="AY187">
        <v>42807965.402999997</v>
      </c>
      <c r="AZ187">
        <v>30197220.813000001</v>
      </c>
    </row>
    <row r="188" spans="1:52" x14ac:dyDescent="0.35">
      <c r="A188" t="s">
        <v>236</v>
      </c>
      <c r="B188" t="s">
        <v>417</v>
      </c>
      <c r="C188">
        <v>283219.17142999999</v>
      </c>
      <c r="D188">
        <v>298685.99348</v>
      </c>
      <c r="E188">
        <v>277981.49028999999</v>
      </c>
      <c r="F188">
        <v>223357.72245</v>
      </c>
      <c r="G188">
        <v>241987.05617</v>
      </c>
      <c r="H188">
        <v>224253.31912999999</v>
      </c>
      <c r="I188">
        <v>247786.47594999999</v>
      </c>
      <c r="J188">
        <v>229126.20666</v>
      </c>
      <c r="K188">
        <v>225150.79079999999</v>
      </c>
      <c r="L188">
        <v>157958.46659</v>
      </c>
      <c r="M188">
        <v>185696.66068</v>
      </c>
      <c r="N188">
        <v>196349.48048</v>
      </c>
      <c r="O188">
        <v>236254.85167999999</v>
      </c>
      <c r="P188">
        <v>257100.77812</v>
      </c>
      <c r="Q188">
        <v>260261.31112999999</v>
      </c>
      <c r="R188">
        <v>181792.12813999999</v>
      </c>
      <c r="S188">
        <v>147445.49212000001</v>
      </c>
      <c r="AJ188">
        <v>36828280.185000002</v>
      </c>
      <c r="AK188">
        <v>35995479.880000003</v>
      </c>
      <c r="AL188">
        <v>33016421.278000001</v>
      </c>
      <c r="AM188">
        <v>33904755.483000003</v>
      </c>
      <c r="AN188">
        <v>31332287.682</v>
      </c>
      <c r="AO188">
        <v>30019148.894000001</v>
      </c>
      <c r="AP188">
        <v>35904530.736000001</v>
      </c>
      <c r="AQ188">
        <v>34831096.311999999</v>
      </c>
      <c r="AR188">
        <v>34296458.555</v>
      </c>
      <c r="AS188">
        <v>30808575.083000001</v>
      </c>
      <c r="AT188">
        <v>26987644.037</v>
      </c>
      <c r="AU188">
        <v>29636705.541999999</v>
      </c>
      <c r="AV188">
        <v>29543916.857999999</v>
      </c>
      <c r="AW188">
        <v>31269786.373</v>
      </c>
      <c r="AX188">
        <v>27391402.954</v>
      </c>
      <c r="AY188">
        <v>27391402.954</v>
      </c>
      <c r="AZ188">
        <v>25295108.932</v>
      </c>
    </row>
    <row r="189" spans="1:52" x14ac:dyDescent="0.35">
      <c r="A189" t="s">
        <v>80</v>
      </c>
      <c r="B189" t="s">
        <v>34</v>
      </c>
      <c r="C189">
        <v>34020.020696</v>
      </c>
      <c r="D189">
        <v>40614.610309999996</v>
      </c>
      <c r="E189">
        <v>38063.676803000002</v>
      </c>
      <c r="F189">
        <v>34440.257772999998</v>
      </c>
      <c r="G189">
        <v>38453.222857000001</v>
      </c>
      <c r="H189">
        <v>33537.634738000001</v>
      </c>
      <c r="I189">
        <v>23484.211749999999</v>
      </c>
      <c r="J189">
        <v>32633.957488</v>
      </c>
      <c r="K189">
        <v>30456.136361000001</v>
      </c>
      <c r="L189">
        <v>19990.092090999999</v>
      </c>
      <c r="M189">
        <v>28913.254364</v>
      </c>
      <c r="N189">
        <v>34891.229333000003</v>
      </c>
      <c r="O189">
        <v>20521.942818</v>
      </c>
      <c r="P189">
        <v>19380.904738000001</v>
      </c>
      <c r="Q189">
        <v>18751.796483999999</v>
      </c>
      <c r="R189">
        <v>32873.021142999998</v>
      </c>
      <c r="S189">
        <v>4693.6026764999997</v>
      </c>
      <c r="AJ189">
        <v>28935657.765999999</v>
      </c>
      <c r="AK189">
        <v>27282191.607999999</v>
      </c>
      <c r="AL189">
        <v>22321970.949999999</v>
      </c>
      <c r="AM189">
        <v>20255121.787999999</v>
      </c>
      <c r="AN189">
        <v>17051505.587000001</v>
      </c>
      <c r="AO189">
        <v>19118354.749000002</v>
      </c>
      <c r="AP189">
        <v>18704984.916000001</v>
      </c>
      <c r="AQ189">
        <v>20048436.870999999</v>
      </c>
      <c r="AR189">
        <v>17051505.587000001</v>
      </c>
      <c r="AS189">
        <v>14777971.507999999</v>
      </c>
      <c r="AT189">
        <v>12091067.596999999</v>
      </c>
      <c r="AU189">
        <v>10549978.198000001</v>
      </c>
      <c r="AV189">
        <v>9825960.0869999994</v>
      </c>
      <c r="AW189">
        <v>8688217.3399999999</v>
      </c>
      <c r="AX189">
        <v>8377923.8635999998</v>
      </c>
      <c r="AY189">
        <v>10653409.357000001</v>
      </c>
      <c r="AZ189">
        <v>2378916.6526000001</v>
      </c>
    </row>
    <row r="190" spans="1:52" x14ac:dyDescent="0.35">
      <c r="A190" t="s">
        <v>182</v>
      </c>
      <c r="B190" t="s">
        <v>364</v>
      </c>
      <c r="C190">
        <v>7688.4859999999999</v>
      </c>
      <c r="D190">
        <v>6779.2727381000004</v>
      </c>
      <c r="E190">
        <v>5968.1188689000001</v>
      </c>
      <c r="F190">
        <v>4835.9531817999996</v>
      </c>
      <c r="G190">
        <v>5413.8322857000003</v>
      </c>
      <c r="H190">
        <v>4977.3396393000003</v>
      </c>
      <c r="I190">
        <v>4350.1504500000001</v>
      </c>
      <c r="J190">
        <v>4749.0659267999999</v>
      </c>
      <c r="K190">
        <v>4889.1300656000003</v>
      </c>
      <c r="L190">
        <v>4071.0486817999999</v>
      </c>
      <c r="M190">
        <v>4588.2848181999998</v>
      </c>
      <c r="N190">
        <v>4699.6761969999998</v>
      </c>
      <c r="O190">
        <v>6801.8838636</v>
      </c>
      <c r="P190">
        <v>6488.2139524000004</v>
      </c>
      <c r="Q190">
        <v>6162.3920323000002</v>
      </c>
      <c r="R190">
        <v>5731.7736666999999</v>
      </c>
      <c r="S190">
        <v>4006.6561176</v>
      </c>
      <c r="AJ190">
        <v>1786012.81</v>
      </c>
      <c r="AK190">
        <v>1672764.97</v>
      </c>
      <c r="AL190">
        <v>1592667.78</v>
      </c>
      <c r="AM190">
        <v>1704761.7</v>
      </c>
      <c r="AN190">
        <v>1697755.83</v>
      </c>
      <c r="AO190">
        <v>1670513.74</v>
      </c>
      <c r="AP190">
        <v>1860502.82</v>
      </c>
      <c r="AQ190">
        <v>1730754.18</v>
      </c>
      <c r="AR190">
        <v>1679653.53</v>
      </c>
      <c r="AS190">
        <v>1675032.75</v>
      </c>
      <c r="AT190">
        <v>1852932.78</v>
      </c>
      <c r="AU190">
        <v>1922378.34</v>
      </c>
      <c r="AV190">
        <v>2056068.92</v>
      </c>
      <c r="AW190">
        <v>2012273.73</v>
      </c>
      <c r="AX190">
        <v>2000748.68</v>
      </c>
      <c r="AY190">
        <v>2095254.09</v>
      </c>
      <c r="AZ190">
        <v>1751807.52</v>
      </c>
    </row>
    <row r="191" spans="1:52" x14ac:dyDescent="0.35">
      <c r="A191" t="s">
        <v>231</v>
      </c>
      <c r="B191" t="s">
        <v>412</v>
      </c>
      <c r="C191">
        <v>362.11260870000001</v>
      </c>
      <c r="D191">
        <v>348.32635714000003</v>
      </c>
      <c r="E191">
        <v>289.97157377000002</v>
      </c>
      <c r="F191">
        <v>290.81772726999998</v>
      </c>
      <c r="G191">
        <v>220.87395237999999</v>
      </c>
      <c r="H191">
        <v>194.46873769999999</v>
      </c>
      <c r="I191">
        <v>174.93164999999999</v>
      </c>
      <c r="J191">
        <v>360.52773171000001</v>
      </c>
      <c r="K191">
        <v>330.92862294999998</v>
      </c>
      <c r="L191">
        <v>159.98940909000001</v>
      </c>
      <c r="M191">
        <v>172.28424999999999</v>
      </c>
      <c r="N191">
        <v>158.36228788</v>
      </c>
      <c r="O191">
        <v>190.92150000000001</v>
      </c>
      <c r="P191">
        <v>141.07840476000001</v>
      </c>
      <c r="Q191">
        <v>143.79435484000001</v>
      </c>
      <c r="R191">
        <v>122.59052380999999</v>
      </c>
      <c r="S191">
        <v>417.34729412000002</v>
      </c>
      <c r="AJ191">
        <v>3361275</v>
      </c>
      <c r="AK191">
        <v>3242554</v>
      </c>
      <c r="AL191">
        <v>3054363.72</v>
      </c>
      <c r="AM191">
        <v>2882815.92</v>
      </c>
      <c r="AN191">
        <v>2866731.46</v>
      </c>
      <c r="AO191">
        <v>2719959.4</v>
      </c>
      <c r="AP191">
        <v>2855079.86</v>
      </c>
      <c r="AQ191">
        <v>2855284.78</v>
      </c>
      <c r="AR191">
        <v>2866841.54</v>
      </c>
      <c r="AS191">
        <v>2273857.6776000001</v>
      </c>
      <c r="AT191">
        <v>2183368.8078000001</v>
      </c>
      <c r="AU191">
        <v>2136880.6800000002</v>
      </c>
      <c r="AV191">
        <v>2086910.84</v>
      </c>
      <c r="AW191">
        <v>2317123.5</v>
      </c>
      <c r="AX191">
        <v>1995255.6</v>
      </c>
      <c r="AY191">
        <v>2250584.4</v>
      </c>
      <c r="AZ191">
        <v>1929213.92</v>
      </c>
    </row>
    <row r="192" spans="1:52" x14ac:dyDescent="0.35">
      <c r="A192" t="s">
        <v>232</v>
      </c>
      <c r="B192" t="s">
        <v>413</v>
      </c>
      <c r="C192">
        <v>26399.374087</v>
      </c>
      <c r="D192">
        <v>22963.014547999999</v>
      </c>
      <c r="E192">
        <v>22178.797852</v>
      </c>
      <c r="F192">
        <v>25503.770955</v>
      </c>
      <c r="G192">
        <v>25608.954643000001</v>
      </c>
      <c r="H192">
        <v>25058.324689000001</v>
      </c>
      <c r="I192">
        <v>39334.528550000003</v>
      </c>
      <c r="J192">
        <v>34535.858121999998</v>
      </c>
      <c r="K192">
        <v>32926.868802999998</v>
      </c>
      <c r="L192">
        <v>26193.575908999999</v>
      </c>
      <c r="M192">
        <v>25236.027067999999</v>
      </c>
      <c r="N192">
        <v>23419.050408999999</v>
      </c>
      <c r="O192">
        <v>18958.466726999999</v>
      </c>
      <c r="P192">
        <v>21314.172547999999</v>
      </c>
      <c r="Q192">
        <v>22590.802339000002</v>
      </c>
      <c r="R192">
        <v>28379.707952000001</v>
      </c>
      <c r="S192">
        <v>9593.9174411999993</v>
      </c>
      <c r="AJ192">
        <v>3361275</v>
      </c>
      <c r="AK192">
        <v>3242554</v>
      </c>
      <c r="AL192">
        <v>3054363.72</v>
      </c>
      <c r="AM192">
        <v>2882815.92</v>
      </c>
      <c r="AN192">
        <v>2866731.46</v>
      </c>
      <c r="AO192">
        <v>2719959.4</v>
      </c>
      <c r="AP192">
        <v>2855079.86</v>
      </c>
      <c r="AQ192">
        <v>2855284.78</v>
      </c>
      <c r="AR192">
        <v>2866841.54</v>
      </c>
      <c r="AS192">
        <v>2273857.6776000001</v>
      </c>
      <c r="AT192">
        <v>2183368.8078000001</v>
      </c>
      <c r="AU192">
        <v>2136880.6800000002</v>
      </c>
      <c r="AV192">
        <v>2086910.84</v>
      </c>
      <c r="AW192">
        <v>2317123.5</v>
      </c>
      <c r="AX192">
        <v>1995255.6</v>
      </c>
      <c r="AY192">
        <v>2250584.4</v>
      </c>
      <c r="AZ192">
        <v>1929213.92</v>
      </c>
    </row>
    <row r="193" spans="1:52" x14ac:dyDescent="0.35">
      <c r="A193" t="s">
        <v>233</v>
      </c>
      <c r="B193" t="s">
        <v>414</v>
      </c>
      <c r="C193">
        <v>143701.53086999999</v>
      </c>
      <c r="D193">
        <v>158869.10318999999</v>
      </c>
      <c r="E193">
        <v>166825.22315999999</v>
      </c>
      <c r="F193">
        <v>134625.02536</v>
      </c>
      <c r="G193">
        <v>155318.99600000001</v>
      </c>
      <c r="H193">
        <v>160524.92533</v>
      </c>
      <c r="I193">
        <v>193444.22615</v>
      </c>
      <c r="J193">
        <v>183094.95353999999</v>
      </c>
      <c r="K193">
        <v>194162.29191999999</v>
      </c>
      <c r="L193">
        <v>133439.02523</v>
      </c>
      <c r="M193">
        <v>161486.14236</v>
      </c>
      <c r="N193">
        <v>164107.7102</v>
      </c>
      <c r="O193">
        <v>166138.04586000001</v>
      </c>
      <c r="P193">
        <v>231662.55364</v>
      </c>
      <c r="Q193">
        <v>250868.78463000001</v>
      </c>
      <c r="R193">
        <v>224452.93742999999</v>
      </c>
      <c r="S193">
        <v>202922.39924</v>
      </c>
      <c r="AJ193">
        <v>65827589.968999997</v>
      </c>
      <c r="AK193">
        <v>60648375.634999998</v>
      </c>
      <c r="AL193">
        <v>56435440.130000003</v>
      </c>
      <c r="AM193">
        <v>62740579.783</v>
      </c>
      <c r="AN193">
        <v>60365051.814999998</v>
      </c>
      <c r="AO193">
        <v>62284449.105999999</v>
      </c>
      <c r="AP193">
        <v>70721562.423999995</v>
      </c>
      <c r="AQ193">
        <v>83443492.453999996</v>
      </c>
      <c r="AR193">
        <v>78162851.511000007</v>
      </c>
      <c r="AS193">
        <v>72270846.612000003</v>
      </c>
      <c r="AT193">
        <v>86857420.539000005</v>
      </c>
      <c r="AU193">
        <v>92859762.608999997</v>
      </c>
      <c r="AV193">
        <v>95640259.303000003</v>
      </c>
      <c r="AW193">
        <v>102900445.11</v>
      </c>
      <c r="AX193">
        <v>89602311.033999994</v>
      </c>
      <c r="AY193">
        <v>93529720.875</v>
      </c>
      <c r="AZ193">
        <v>72143071.105000004</v>
      </c>
    </row>
    <row r="194" spans="1:52" x14ac:dyDescent="0.35">
      <c r="A194" t="s">
        <v>220</v>
      </c>
      <c r="B194" t="s">
        <v>401</v>
      </c>
      <c r="C194">
        <v>33532.067564999998</v>
      </c>
      <c r="D194">
        <v>38687.521667000001</v>
      </c>
      <c r="E194">
        <v>39745.485115000003</v>
      </c>
      <c r="F194">
        <v>29126.606273000001</v>
      </c>
      <c r="G194">
        <v>33847.116024000003</v>
      </c>
      <c r="H194">
        <v>35714.334884999997</v>
      </c>
      <c r="I194">
        <v>60613.9179</v>
      </c>
      <c r="J194">
        <v>55831.159537</v>
      </c>
      <c r="K194">
        <v>51818.616589999998</v>
      </c>
      <c r="L194">
        <v>32891.672726999997</v>
      </c>
      <c r="M194">
        <v>30487.45825</v>
      </c>
      <c r="N194">
        <v>28663.483379000001</v>
      </c>
      <c r="O194">
        <v>26886.514636</v>
      </c>
      <c r="P194">
        <v>38234.910143000001</v>
      </c>
      <c r="Q194">
        <v>38967.195725999998</v>
      </c>
      <c r="R194">
        <v>50848.617666999999</v>
      </c>
      <c r="S194">
        <v>20951.062293999999</v>
      </c>
      <c r="AJ194">
        <v>4976824.2461999999</v>
      </c>
      <c r="AK194">
        <v>4847860.6025999999</v>
      </c>
      <c r="AL194">
        <v>4751137.8699000003</v>
      </c>
      <c r="AM194">
        <v>4686656.0481000002</v>
      </c>
      <c r="AN194">
        <v>4657346.1290999996</v>
      </c>
      <c r="AO194">
        <v>4830237.4430999998</v>
      </c>
      <c r="AP194">
        <v>3761082.3996000001</v>
      </c>
      <c r="AQ194">
        <v>4238540.6793</v>
      </c>
      <c r="AR194">
        <v>4198312.4762000004</v>
      </c>
      <c r="AS194">
        <v>4025458.0197000001</v>
      </c>
      <c r="AT194">
        <v>3788149.3591</v>
      </c>
      <c r="AU194">
        <v>3694449.5787999998</v>
      </c>
      <c r="AV194">
        <v>3638783.804</v>
      </c>
      <c r="AW194">
        <v>3134862.0534000001</v>
      </c>
      <c r="AX194">
        <v>3316510.145</v>
      </c>
      <c r="AY194">
        <v>3310650.5863999999</v>
      </c>
      <c r="AZ194">
        <v>3149063.2119999998</v>
      </c>
    </row>
    <row r="195" spans="1:52" x14ac:dyDescent="0.35">
      <c r="A195" t="s">
        <v>192</v>
      </c>
      <c r="B195" t="s">
        <v>374</v>
      </c>
      <c r="C195">
        <v>266198.93465000001</v>
      </c>
      <c r="D195">
        <v>405151.44983</v>
      </c>
      <c r="E195">
        <v>424957.07601999998</v>
      </c>
      <c r="F195">
        <v>286569.84759000002</v>
      </c>
      <c r="G195">
        <v>322265.99471</v>
      </c>
      <c r="H195">
        <v>316873.93489999999</v>
      </c>
      <c r="I195">
        <v>428384.07384999999</v>
      </c>
      <c r="J195">
        <v>428437.84987999999</v>
      </c>
      <c r="K195">
        <v>418880.66323000001</v>
      </c>
      <c r="L195">
        <v>243155.06354999999</v>
      </c>
      <c r="M195">
        <v>286584.65444999997</v>
      </c>
      <c r="N195">
        <v>284858.27705999999</v>
      </c>
      <c r="O195">
        <v>267040.60194999998</v>
      </c>
      <c r="P195">
        <v>304237.72424000001</v>
      </c>
      <c r="Q195">
        <v>356363.54774000001</v>
      </c>
      <c r="R195">
        <v>381403.47457000002</v>
      </c>
      <c r="S195">
        <v>291949.33788000001</v>
      </c>
      <c r="AJ195">
        <v>44569783.516999997</v>
      </c>
      <c r="AK195">
        <v>39860363.269000001</v>
      </c>
      <c r="AL195">
        <v>33930788.254000001</v>
      </c>
      <c r="AM195">
        <v>33361762.612</v>
      </c>
      <c r="AN195">
        <v>29610408.383000001</v>
      </c>
      <c r="AO195">
        <v>35395502.405000001</v>
      </c>
      <c r="AP195">
        <v>45269151.035999998</v>
      </c>
      <c r="AQ195">
        <v>45269151.035999998</v>
      </c>
      <c r="AR195">
        <v>42731268.380000003</v>
      </c>
      <c r="AS195">
        <v>37532227.089000002</v>
      </c>
      <c r="AT195">
        <v>37795870.156999998</v>
      </c>
      <c r="AU195">
        <v>41599187.950000003</v>
      </c>
      <c r="AV195">
        <v>41588643.162</v>
      </c>
      <c r="AW195">
        <v>47715164.884999998</v>
      </c>
      <c r="AX195">
        <v>47626978.843999997</v>
      </c>
      <c r="AY195">
        <v>52918865.044</v>
      </c>
      <c r="AZ195">
        <v>36878582.892999999</v>
      </c>
    </row>
    <row r="196" spans="1:52" x14ac:dyDescent="0.35">
      <c r="A196" t="s">
        <v>235</v>
      </c>
      <c r="B196" t="s">
        <v>416</v>
      </c>
      <c r="C196">
        <v>1705.3849565</v>
      </c>
      <c r="D196">
        <v>1867.6155000000001</v>
      </c>
      <c r="E196">
        <v>1881.7744425999999</v>
      </c>
      <c r="F196">
        <v>1544.5711818</v>
      </c>
      <c r="G196">
        <v>1295.9172143000001</v>
      </c>
      <c r="H196">
        <v>1270.5006885</v>
      </c>
      <c r="I196">
        <v>910.85919999999999</v>
      </c>
      <c r="J196">
        <v>890.67709755999999</v>
      </c>
      <c r="K196">
        <v>977.97531147999996</v>
      </c>
      <c r="L196">
        <v>828.74263636000001</v>
      </c>
      <c r="M196">
        <v>882.26768182000001</v>
      </c>
      <c r="N196">
        <v>981.35793938999996</v>
      </c>
      <c r="O196">
        <v>947.34013635999997</v>
      </c>
      <c r="P196">
        <v>1090.9548809999999</v>
      </c>
      <c r="Q196">
        <v>1146.7574193999999</v>
      </c>
      <c r="R196">
        <v>1696.7617143</v>
      </c>
      <c r="S196">
        <v>838.46500000000003</v>
      </c>
      <c r="AJ196">
        <v>941024.54469999997</v>
      </c>
      <c r="AK196">
        <v>861829.40974999999</v>
      </c>
      <c r="AL196">
        <v>786361.10467999999</v>
      </c>
      <c r="AM196">
        <v>887917.21891000005</v>
      </c>
      <c r="AN196">
        <v>864624.53215999994</v>
      </c>
      <c r="AO196">
        <v>842263.55287999997</v>
      </c>
      <c r="AP196">
        <v>853444.04252000002</v>
      </c>
      <c r="AQ196">
        <v>864624.53215999994</v>
      </c>
      <c r="AR196">
        <v>831083.06324000005</v>
      </c>
      <c r="AS196">
        <v>758409.88058</v>
      </c>
      <c r="AT196">
        <v>731390.36395000003</v>
      </c>
      <c r="AU196">
        <v>730458.65648000001</v>
      </c>
      <c r="AV196">
        <v>758409.88058</v>
      </c>
      <c r="AW196">
        <v>764000.12540000002</v>
      </c>
      <c r="AX196">
        <v>730458.65648000001</v>
      </c>
      <c r="AY196">
        <v>784497.68973999994</v>
      </c>
      <c r="AZ196">
        <v>527346.42801999999</v>
      </c>
    </row>
    <row r="197" spans="1:52" x14ac:dyDescent="0.35">
      <c r="A197" t="s">
        <v>234</v>
      </c>
      <c r="B197" t="s">
        <v>415</v>
      </c>
      <c r="C197">
        <v>81.564260869999998</v>
      </c>
      <c r="D197">
        <v>102.4425</v>
      </c>
      <c r="E197">
        <v>86.303491803</v>
      </c>
      <c r="F197">
        <v>33.173636363999996</v>
      </c>
      <c r="G197">
        <v>41.379333332999998</v>
      </c>
      <c r="H197">
        <v>52.777131148000002</v>
      </c>
      <c r="I197">
        <v>87.927350000000004</v>
      </c>
      <c r="J197">
        <v>99.327341462999996</v>
      </c>
      <c r="K197">
        <v>92.062885245999993</v>
      </c>
      <c r="L197">
        <v>100.46768181</v>
      </c>
      <c r="M197">
        <v>115.17090908999999</v>
      </c>
      <c r="N197">
        <v>107.23203030000001</v>
      </c>
      <c r="O197">
        <v>28.004727273</v>
      </c>
      <c r="P197">
        <v>46.99747619</v>
      </c>
      <c r="Q197">
        <v>54.672596773999999</v>
      </c>
      <c r="R197">
        <v>96.592047618999999</v>
      </c>
      <c r="S197">
        <v>197.42617647</v>
      </c>
      <c r="AJ197">
        <v>363234.69695999997</v>
      </c>
      <c r="AK197">
        <v>343135.95328000002</v>
      </c>
      <c r="AL197">
        <v>333906.31871999998</v>
      </c>
      <c r="AM197">
        <v>358255.55200000003</v>
      </c>
      <c r="AN197">
        <v>412904.70400000003</v>
      </c>
      <c r="AO197">
        <v>428570.79424000002</v>
      </c>
      <c r="AP197">
        <v>423834.5344</v>
      </c>
      <c r="AQ197">
        <v>413208.31040000002</v>
      </c>
      <c r="AR197">
        <v>424077.41952</v>
      </c>
      <c r="AS197">
        <v>420494.864</v>
      </c>
      <c r="AT197">
        <v>417944.57023999997</v>
      </c>
      <c r="AU197">
        <v>390741.43680000002</v>
      </c>
      <c r="AV197">
        <v>424320.30463999999</v>
      </c>
      <c r="AW197">
        <v>411083.06559999997</v>
      </c>
      <c r="AX197">
        <v>424198.86207999999</v>
      </c>
      <c r="AY197">
        <v>388616.19199999998</v>
      </c>
      <c r="AZ197">
        <v>248714.36288</v>
      </c>
    </row>
    <row r="198" spans="1:52" x14ac:dyDescent="0.35">
      <c r="A198" t="s">
        <v>238</v>
      </c>
      <c r="B198" t="s">
        <v>419</v>
      </c>
      <c r="C198">
        <v>70778.295043000006</v>
      </c>
      <c r="D198">
        <v>77720.097309999997</v>
      </c>
      <c r="E198">
        <v>74609.139163999993</v>
      </c>
      <c r="F198">
        <v>65834.261954999994</v>
      </c>
      <c r="G198">
        <v>70891.963881000003</v>
      </c>
      <c r="H198">
        <v>69404.512524999998</v>
      </c>
      <c r="I198">
        <v>77945.686549999999</v>
      </c>
      <c r="J198">
        <v>73509.193243999995</v>
      </c>
      <c r="K198">
        <v>73622.594933999993</v>
      </c>
      <c r="L198">
        <v>102705.45858999999</v>
      </c>
      <c r="M198">
        <v>78185.958522999994</v>
      </c>
      <c r="N198">
        <v>75084.921984999994</v>
      </c>
      <c r="O198">
        <v>100686.41963</v>
      </c>
      <c r="P198">
        <v>104596.88288</v>
      </c>
      <c r="Q198">
        <v>103380.3563</v>
      </c>
      <c r="R198">
        <v>111858.74408999999</v>
      </c>
      <c r="S198">
        <v>159526.79441</v>
      </c>
      <c r="AJ198">
        <v>101857744.83</v>
      </c>
      <c r="AK198">
        <v>93537239.010000005</v>
      </c>
      <c r="AL198">
        <v>88905868.939999998</v>
      </c>
      <c r="AM198">
        <v>95323925.340000004</v>
      </c>
      <c r="AN198">
        <v>94340287.930000007</v>
      </c>
      <c r="AO198">
        <v>99645869.5</v>
      </c>
      <c r="AP198">
        <v>110250340.55</v>
      </c>
      <c r="AQ198">
        <v>109990942.95</v>
      </c>
      <c r="AR198">
        <v>109724683.81</v>
      </c>
      <c r="AS198">
        <v>98754853.75</v>
      </c>
      <c r="AT198">
        <v>105694525.23999999</v>
      </c>
      <c r="AU198">
        <v>110174270.47</v>
      </c>
      <c r="AV198">
        <v>116497731.44</v>
      </c>
      <c r="AW198">
        <v>127580454.01000001</v>
      </c>
      <c r="AX198">
        <v>125800292.25</v>
      </c>
      <c r="AY198">
        <v>135647831.81999999</v>
      </c>
      <c r="AZ198">
        <v>110341901.95</v>
      </c>
    </row>
    <row r="199" spans="1:52" x14ac:dyDescent="0.35">
      <c r="A199" t="s">
        <v>82</v>
      </c>
      <c r="B199" t="s">
        <v>36</v>
      </c>
      <c r="C199">
        <v>28619.761478</v>
      </c>
      <c r="D199">
        <v>30776.959905</v>
      </c>
      <c r="E199">
        <v>36936.568425999998</v>
      </c>
      <c r="F199">
        <v>25405.650682</v>
      </c>
      <c r="G199">
        <v>24096.556737999999</v>
      </c>
      <c r="H199">
        <v>24017.013361000001</v>
      </c>
      <c r="I199">
        <v>27142.420099999999</v>
      </c>
      <c r="J199">
        <v>30165.121462999999</v>
      </c>
      <c r="K199">
        <v>39090.979212999999</v>
      </c>
      <c r="L199">
        <v>42023.248409</v>
      </c>
      <c r="M199">
        <v>42458.378113999999</v>
      </c>
      <c r="N199">
        <v>42735.611894000001</v>
      </c>
      <c r="O199">
        <v>39986.560408999998</v>
      </c>
      <c r="P199">
        <v>45860.275000000001</v>
      </c>
      <c r="Q199">
        <v>49901.605097</v>
      </c>
      <c r="R199">
        <v>73387.906000000003</v>
      </c>
      <c r="S199">
        <v>36886.406882000003</v>
      </c>
      <c r="AJ199">
        <v>8175621.8241999997</v>
      </c>
      <c r="AK199">
        <v>9067233.0985000003</v>
      </c>
      <c r="AL199">
        <v>8213827.2982999999</v>
      </c>
      <c r="AM199">
        <v>7838119.2884</v>
      </c>
      <c r="AN199">
        <v>8271331.5698999995</v>
      </c>
      <c r="AO199">
        <v>8251182.1544000003</v>
      </c>
      <c r="AP199">
        <v>9223391.0237000007</v>
      </c>
      <c r="AQ199">
        <v>9858097.3390999995</v>
      </c>
      <c r="AR199">
        <v>11575834.302999999</v>
      </c>
      <c r="AS199">
        <v>10528065.199999999</v>
      </c>
      <c r="AT199">
        <v>10538139.889</v>
      </c>
      <c r="AU199">
        <v>11364265.572000001</v>
      </c>
      <c r="AV199">
        <v>10477691.625</v>
      </c>
      <c r="AW199">
        <v>11203070.261</v>
      </c>
      <c r="AX199">
        <v>12257208.868000001</v>
      </c>
      <c r="AY199">
        <v>14618394.943</v>
      </c>
      <c r="AZ199">
        <v>10044479.414999999</v>
      </c>
    </row>
    <row r="200" spans="1:52" x14ac:dyDescent="0.35">
      <c r="A200" t="s">
        <v>237</v>
      </c>
      <c r="B200" t="s">
        <v>418</v>
      </c>
      <c r="C200">
        <v>6336.3396087000001</v>
      </c>
      <c r="D200">
        <v>8168.5659524000002</v>
      </c>
      <c r="E200">
        <v>8948.5502458999999</v>
      </c>
      <c r="F200">
        <v>10882.507772000001</v>
      </c>
      <c r="G200">
        <v>9632.3384048000007</v>
      </c>
      <c r="H200">
        <v>9306.6441147999994</v>
      </c>
      <c r="I200">
        <v>7490.8183499999996</v>
      </c>
      <c r="J200">
        <v>7739.9573902000002</v>
      </c>
      <c r="K200">
        <v>8716.0344590000004</v>
      </c>
      <c r="L200">
        <v>7708.8755455</v>
      </c>
      <c r="M200">
        <v>7309.9929545000005</v>
      </c>
      <c r="N200">
        <v>7105.6187726999997</v>
      </c>
      <c r="O200">
        <v>8644.1878182</v>
      </c>
      <c r="P200">
        <v>8462.9907143</v>
      </c>
      <c r="Q200">
        <v>8289.1244516000006</v>
      </c>
      <c r="R200">
        <v>9470.5818571</v>
      </c>
      <c r="S200">
        <v>7930.8110293999998</v>
      </c>
      <c r="AJ200">
        <v>8175621.8241999997</v>
      </c>
      <c r="AK200">
        <v>9067233.0985000003</v>
      </c>
      <c r="AL200">
        <v>8213827.2982999999</v>
      </c>
      <c r="AM200">
        <v>7838119.2884</v>
      </c>
      <c r="AN200">
        <v>8271331.5698999995</v>
      </c>
      <c r="AO200">
        <v>8251182.1544000003</v>
      </c>
      <c r="AP200">
        <v>9223391.0237000007</v>
      </c>
      <c r="AQ200">
        <v>9858097.3390999995</v>
      </c>
      <c r="AR200">
        <v>11575834.302999999</v>
      </c>
      <c r="AS200">
        <v>10528065.199999999</v>
      </c>
      <c r="AT200">
        <v>10538139.889</v>
      </c>
      <c r="AU200">
        <v>11364265.572000001</v>
      </c>
      <c r="AV200">
        <v>10477691.625</v>
      </c>
      <c r="AW200">
        <v>11203070.261</v>
      </c>
      <c r="AX200">
        <v>12257208.868000001</v>
      </c>
      <c r="AY200">
        <v>14618394.943</v>
      </c>
      <c r="AZ200">
        <v>10044479.414999999</v>
      </c>
    </row>
    <row r="201" spans="1:52" x14ac:dyDescent="0.35">
      <c r="A201" t="s">
        <v>176</v>
      </c>
      <c r="B201" t="s">
        <v>358</v>
      </c>
      <c r="C201">
        <v>30711.96313</v>
      </c>
      <c r="D201">
        <v>29687.882881000001</v>
      </c>
      <c r="E201">
        <v>31280.951803</v>
      </c>
      <c r="F201">
        <v>24066.176590999999</v>
      </c>
      <c r="G201">
        <v>23526.768285999999</v>
      </c>
      <c r="H201">
        <v>21690.340671999998</v>
      </c>
      <c r="I201">
        <v>14485.6543</v>
      </c>
      <c r="J201">
        <v>15146.461341</v>
      </c>
      <c r="K201">
        <v>17168.687705</v>
      </c>
      <c r="L201">
        <v>20643.681818000001</v>
      </c>
      <c r="M201">
        <v>21783.761750000001</v>
      </c>
      <c r="N201">
        <v>24376.247076</v>
      </c>
      <c r="O201">
        <v>17722.266544999999</v>
      </c>
      <c r="P201">
        <v>22099.429786000001</v>
      </c>
      <c r="Q201">
        <v>29821.124419</v>
      </c>
      <c r="R201">
        <v>25948.456048</v>
      </c>
      <c r="S201">
        <v>17663.542235000001</v>
      </c>
      <c r="AJ201">
        <v>3532620.9064000002</v>
      </c>
      <c r="AK201">
        <v>3003799.7837999999</v>
      </c>
      <c r="AL201">
        <v>2577184.2656</v>
      </c>
      <c r="AM201">
        <v>2884907.76</v>
      </c>
      <c r="AN201">
        <v>2365624.3632</v>
      </c>
      <c r="AO201">
        <v>2722030.7096000002</v>
      </c>
      <c r="AP201">
        <v>2464227.4597999998</v>
      </c>
      <c r="AQ201">
        <v>2854416.1622000001</v>
      </c>
      <c r="AR201">
        <v>2833513.196</v>
      </c>
      <c r="AS201">
        <v>2615193.3267999999</v>
      </c>
      <c r="AT201">
        <v>2646907.9161</v>
      </c>
      <c r="AU201">
        <v>2993454.2689999999</v>
      </c>
      <c r="AV201">
        <v>2972730.3547999999</v>
      </c>
      <c r="AW201">
        <v>3361879.4098</v>
      </c>
      <c r="AX201">
        <v>2984243.6405000002</v>
      </c>
      <c r="AY201">
        <v>3315826.2672000001</v>
      </c>
      <c r="AZ201">
        <v>1981403.7084999999</v>
      </c>
    </row>
    <row r="202" spans="1:52" x14ac:dyDescent="0.35">
      <c r="A202" t="s">
        <v>81</v>
      </c>
      <c r="B202" t="s">
        <v>35</v>
      </c>
      <c r="C202">
        <v>287622.46656999999</v>
      </c>
      <c r="D202">
        <v>329276.52851999999</v>
      </c>
      <c r="E202">
        <v>357823.40747999999</v>
      </c>
      <c r="F202">
        <v>265746.54605</v>
      </c>
      <c r="G202">
        <v>257269.64648</v>
      </c>
      <c r="H202">
        <v>300284.56092000002</v>
      </c>
      <c r="I202">
        <v>407915.36060000001</v>
      </c>
      <c r="J202">
        <v>419813.85872999998</v>
      </c>
      <c r="K202">
        <v>376154.71084000001</v>
      </c>
      <c r="L202">
        <v>276047.64350000001</v>
      </c>
      <c r="M202">
        <v>311532.34327000001</v>
      </c>
      <c r="N202">
        <v>338922.64361999999</v>
      </c>
      <c r="O202">
        <v>330144.89367999998</v>
      </c>
      <c r="P202">
        <v>386857.89792999998</v>
      </c>
      <c r="Q202">
        <v>422835.45739</v>
      </c>
      <c r="R202">
        <v>469510.99609999999</v>
      </c>
      <c r="S202">
        <v>431386.29735000001</v>
      </c>
      <c r="AJ202">
        <v>62937588.737000003</v>
      </c>
      <c r="AK202">
        <v>63552747.619999997</v>
      </c>
      <c r="AL202">
        <v>60490623.406000003</v>
      </c>
      <c r="AM202">
        <v>65364048.773000002</v>
      </c>
      <c r="AN202">
        <v>64919767.358000003</v>
      </c>
      <c r="AO202">
        <v>69718006.637999997</v>
      </c>
      <c r="AP202">
        <v>77844938.980000004</v>
      </c>
      <c r="AQ202">
        <v>80230388.422999993</v>
      </c>
      <c r="AR202">
        <v>81426530.694000006</v>
      </c>
      <c r="AS202">
        <v>74475235.326000005</v>
      </c>
      <c r="AT202">
        <v>83723123.854000002</v>
      </c>
      <c r="AU202">
        <v>90339499.386000007</v>
      </c>
      <c r="AV202">
        <v>90107106.030000001</v>
      </c>
      <c r="AW202">
        <v>96368056.430000007</v>
      </c>
      <c r="AX202">
        <v>93876396.386000007</v>
      </c>
      <c r="AY202">
        <v>99386945.780000001</v>
      </c>
      <c r="AZ202">
        <v>83883909.966000006</v>
      </c>
    </row>
    <row r="203" spans="1:52" x14ac:dyDescent="0.35">
      <c r="A203" t="s">
        <v>240</v>
      </c>
      <c r="B203" t="s">
        <v>421</v>
      </c>
      <c r="C203">
        <v>251.3243913</v>
      </c>
      <c r="D203">
        <v>387.46395238000002</v>
      </c>
      <c r="E203">
        <v>694.74316393000004</v>
      </c>
      <c r="F203">
        <v>805.61236364000001</v>
      </c>
      <c r="G203">
        <v>616.03754762000005</v>
      </c>
      <c r="H203">
        <v>935.97429508000005</v>
      </c>
      <c r="I203">
        <v>1125.4003</v>
      </c>
      <c r="J203">
        <v>786.60178049000001</v>
      </c>
      <c r="K203">
        <v>631.91060656000002</v>
      </c>
      <c r="L203">
        <v>640.18836364000003</v>
      </c>
      <c r="M203">
        <v>771.13465909000001</v>
      </c>
      <c r="N203">
        <v>685.57181818000004</v>
      </c>
      <c r="O203">
        <v>967.35486363999996</v>
      </c>
      <c r="P203">
        <v>2455.4476429000001</v>
      </c>
      <c r="Q203">
        <v>3834.2529516</v>
      </c>
      <c r="R203">
        <v>924.65257142999997</v>
      </c>
      <c r="S203">
        <v>211.55202940999999</v>
      </c>
      <c r="AJ203">
        <v>1295884</v>
      </c>
      <c r="AK203">
        <v>1180630.6000000001</v>
      </c>
      <c r="AL203">
        <v>1109178.8761</v>
      </c>
      <c r="AM203">
        <v>1044133.54</v>
      </c>
      <c r="AN203">
        <v>1075652.3899999999</v>
      </c>
      <c r="AO203">
        <v>1029981.47</v>
      </c>
      <c r="AP203">
        <v>1057462.9099999999</v>
      </c>
      <c r="AQ203">
        <v>973301</v>
      </c>
      <c r="AR203">
        <v>1016244.96</v>
      </c>
      <c r="AS203">
        <v>1041422.2</v>
      </c>
      <c r="AT203">
        <v>1256000.95</v>
      </c>
      <c r="AU203">
        <v>1208678.26</v>
      </c>
      <c r="AV203">
        <v>1197237.8600000001</v>
      </c>
      <c r="AW203">
        <v>1583351.36</v>
      </c>
      <c r="AX203">
        <v>796823.86</v>
      </c>
      <c r="AY203">
        <v>860890.1</v>
      </c>
      <c r="AZ203">
        <v>714105.76</v>
      </c>
    </row>
    <row r="204" spans="1:52" x14ac:dyDescent="0.35">
      <c r="A204" t="s">
        <v>244</v>
      </c>
      <c r="B204" t="s">
        <v>425</v>
      </c>
      <c r="C204">
        <v>2349.4013478000002</v>
      </c>
      <c r="D204">
        <v>4119.8183571</v>
      </c>
      <c r="E204">
        <v>3570.6388852</v>
      </c>
      <c r="F204">
        <v>2527.6082273000002</v>
      </c>
      <c r="G204">
        <v>2595.1020951999999</v>
      </c>
      <c r="H204">
        <v>2907.0676884999998</v>
      </c>
      <c r="I204">
        <v>5854.0808500000003</v>
      </c>
      <c r="J204">
        <v>8291.8975609999998</v>
      </c>
      <c r="K204">
        <v>7993.3169343999998</v>
      </c>
      <c r="L204">
        <v>4414.6333635999999</v>
      </c>
      <c r="M204">
        <v>5102.9136135999997</v>
      </c>
      <c r="N204">
        <v>5766.9853939000004</v>
      </c>
      <c r="O204">
        <v>6399.9036364000003</v>
      </c>
      <c r="P204">
        <v>9486.3618571000006</v>
      </c>
      <c r="Q204">
        <v>10164.743371</v>
      </c>
      <c r="R204">
        <v>18788.468095</v>
      </c>
      <c r="S204">
        <v>8176.7802352999997</v>
      </c>
      <c r="AJ204">
        <v>886344.62</v>
      </c>
      <c r="AK204">
        <v>778717.05900000001</v>
      </c>
      <c r="AL204">
        <v>569792.97</v>
      </c>
      <c r="AM204">
        <v>643232.95279999997</v>
      </c>
      <c r="AN204">
        <v>533072.97860000003</v>
      </c>
      <c r="AO204">
        <v>617041.92414999998</v>
      </c>
      <c r="AP204">
        <v>762078.58261000004</v>
      </c>
      <c r="AQ204">
        <v>1287518.4066999999</v>
      </c>
      <c r="AR204">
        <v>1160293.2677</v>
      </c>
      <c r="AS204">
        <v>1047062.8939</v>
      </c>
      <c r="AT204">
        <v>1133575.9885</v>
      </c>
      <c r="AU204">
        <v>1447149.9835999999</v>
      </c>
      <c r="AV204">
        <v>1299117.0046999999</v>
      </c>
      <c r="AW204">
        <v>1174054.6603999999</v>
      </c>
      <c r="AX204">
        <v>1253175.7353000001</v>
      </c>
      <c r="AY204">
        <v>1595182.9624999999</v>
      </c>
      <c r="AZ204">
        <v>1423810.0264000001</v>
      </c>
    </row>
    <row r="205" spans="1:52" x14ac:dyDescent="0.35">
      <c r="A205" t="s">
        <v>243</v>
      </c>
      <c r="B205" t="s">
        <v>424</v>
      </c>
      <c r="C205">
        <v>7315.6490434999996</v>
      </c>
      <c r="D205">
        <v>5733.7619999999997</v>
      </c>
      <c r="E205">
        <v>4721.7019179999998</v>
      </c>
      <c r="F205">
        <v>1750.8285909000001</v>
      </c>
      <c r="G205">
        <v>1405.6248095000001</v>
      </c>
      <c r="H205">
        <v>1249.6470655999999</v>
      </c>
      <c r="I205">
        <v>816.82905000000005</v>
      </c>
      <c r="J205">
        <v>603.78065853999999</v>
      </c>
      <c r="K205">
        <v>719.84416393000004</v>
      </c>
      <c r="L205">
        <v>762.19681818000004</v>
      </c>
      <c r="M205">
        <v>456.28945455000002</v>
      </c>
      <c r="N205">
        <v>1058.6096212</v>
      </c>
      <c r="O205">
        <v>449.89954545000001</v>
      </c>
      <c r="P205">
        <v>534.27669047999996</v>
      </c>
      <c r="Q205">
        <v>594.21703226</v>
      </c>
      <c r="R205">
        <v>423.26266666999999</v>
      </c>
      <c r="S205">
        <v>49.873735293999999</v>
      </c>
      <c r="AJ205">
        <v>86357.625799999994</v>
      </c>
      <c r="AK205">
        <v>80959.766399999993</v>
      </c>
      <c r="AL205">
        <v>57242.69354</v>
      </c>
      <c r="AM205">
        <v>82341.589699999997</v>
      </c>
      <c r="AN205">
        <v>69222.421619999994</v>
      </c>
      <c r="AO205">
        <v>72490.269350000002</v>
      </c>
      <c r="AP205">
        <v>67539.714370000002</v>
      </c>
      <c r="AQ205">
        <v>89051.489520000003</v>
      </c>
      <c r="AR205">
        <v>47292.881439999997</v>
      </c>
      <c r="AS205">
        <v>48802.228719999999</v>
      </c>
      <c r="AT205">
        <v>48802.228719999999</v>
      </c>
      <c r="AU205">
        <v>59719.118880000002</v>
      </c>
      <c r="AV205">
        <v>46268.866880000001</v>
      </c>
      <c r="AW205">
        <v>61468.130879999997</v>
      </c>
      <c r="AX205">
        <v>31639.22784</v>
      </c>
      <c r="AY205">
        <v>9673162.8090000004</v>
      </c>
      <c r="AZ205">
        <v>382229.32032</v>
      </c>
    </row>
    <row r="206" spans="1:52" x14ac:dyDescent="0.35">
      <c r="A206" t="s">
        <v>249</v>
      </c>
      <c r="B206" t="s">
        <v>430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</row>
    <row r="207" spans="1:52" x14ac:dyDescent="0.35">
      <c r="A207" t="s">
        <v>242</v>
      </c>
      <c r="B207" t="s">
        <v>423</v>
      </c>
      <c r="C207">
        <v>1986.4720434999999</v>
      </c>
      <c r="D207">
        <v>2850.7759047999998</v>
      </c>
      <c r="E207">
        <v>2695.1746884999998</v>
      </c>
      <c r="F207">
        <v>1629.3486817999999</v>
      </c>
      <c r="G207">
        <v>1540.1666667</v>
      </c>
      <c r="H207">
        <v>1593.9176066</v>
      </c>
      <c r="I207">
        <v>2946.5700499999998</v>
      </c>
      <c r="J207">
        <v>2758.2869267999999</v>
      </c>
      <c r="K207">
        <v>2532.4615245999998</v>
      </c>
      <c r="L207">
        <v>1805.5713182</v>
      </c>
      <c r="M207">
        <v>2076.9783409000001</v>
      </c>
      <c r="N207">
        <v>2338.5650151999998</v>
      </c>
      <c r="O207">
        <v>3155.9267727000001</v>
      </c>
      <c r="P207">
        <v>2844.9341666999999</v>
      </c>
      <c r="Q207">
        <v>2479.1422419</v>
      </c>
      <c r="R207">
        <v>2004.8123333000001</v>
      </c>
      <c r="S207">
        <v>2225.4286765000002</v>
      </c>
      <c r="AJ207">
        <v>2242894.1123000002</v>
      </c>
      <c r="AK207">
        <v>2000032.9664</v>
      </c>
      <c r="AL207">
        <v>2042917.3981000001</v>
      </c>
      <c r="AM207">
        <v>2196463.3919000002</v>
      </c>
      <c r="AN207">
        <v>2107176.2620999999</v>
      </c>
      <c r="AO207">
        <v>1992888.736</v>
      </c>
      <c r="AP207">
        <v>1957173.8840999999</v>
      </c>
      <c r="AQ207">
        <v>1950030.9136999999</v>
      </c>
      <c r="AR207">
        <v>1924037.1403999999</v>
      </c>
      <c r="AS207">
        <v>1802669.3060000001</v>
      </c>
      <c r="AT207">
        <v>1759833.5996999999</v>
      </c>
      <c r="AU207">
        <v>1697198.0824</v>
      </c>
      <c r="AV207">
        <v>1736419.0464999999</v>
      </c>
      <c r="AW207">
        <v>1821992.0591</v>
      </c>
      <c r="AX207">
        <v>1800598.8060000001</v>
      </c>
      <c r="AY207">
        <v>1903999.5294999999</v>
      </c>
      <c r="AZ207">
        <v>1540314.2261000001</v>
      </c>
    </row>
    <row r="208" spans="1:52" x14ac:dyDescent="0.35">
      <c r="A208" t="s">
        <v>83</v>
      </c>
      <c r="B208" t="s">
        <v>37</v>
      </c>
      <c r="C208">
        <v>20716.147174000002</v>
      </c>
      <c r="D208">
        <v>21699.6855</v>
      </c>
      <c r="E208">
        <v>22476.66518</v>
      </c>
      <c r="F208">
        <v>15599.610500000001</v>
      </c>
      <c r="G208">
        <v>18323.636547999999</v>
      </c>
      <c r="H208">
        <v>21567.464951000002</v>
      </c>
      <c r="I208">
        <v>30143.030449999998</v>
      </c>
      <c r="J208">
        <v>27433.911098</v>
      </c>
      <c r="K208">
        <v>29991.396081999999</v>
      </c>
      <c r="L208">
        <v>17073.171909000001</v>
      </c>
      <c r="M208">
        <v>20832.055568</v>
      </c>
      <c r="N208">
        <v>22930.688682</v>
      </c>
      <c r="O208">
        <v>19533.562364000001</v>
      </c>
      <c r="P208">
        <v>20833.551189999998</v>
      </c>
      <c r="Q208">
        <v>27258.5445</v>
      </c>
      <c r="R208">
        <v>41179.818618999998</v>
      </c>
      <c r="S208">
        <v>17382.459088</v>
      </c>
      <c r="AJ208">
        <v>4611839.8650000002</v>
      </c>
      <c r="AK208">
        <v>3982560.7807</v>
      </c>
      <c r="AL208">
        <v>3018460.8319999999</v>
      </c>
      <c r="AM208">
        <v>3130255.6776000001</v>
      </c>
      <c r="AN208">
        <v>2683076.2951000002</v>
      </c>
      <c r="AO208">
        <v>3465248.7771000001</v>
      </c>
      <c r="AP208">
        <v>4574811.1934000002</v>
      </c>
      <c r="AQ208">
        <v>4549205.9068</v>
      </c>
      <c r="AR208">
        <v>4336265.2213000003</v>
      </c>
      <c r="AS208">
        <v>3627780.943</v>
      </c>
      <c r="AT208">
        <v>4430160.7280000001</v>
      </c>
      <c r="AU208">
        <v>4259441.6248000003</v>
      </c>
      <c r="AV208">
        <v>3943611.2839000002</v>
      </c>
      <c r="AW208">
        <v>5445939.3920999998</v>
      </c>
      <c r="AX208">
        <v>4430160.7280000001</v>
      </c>
      <c r="AY208">
        <v>5710554.0020000003</v>
      </c>
      <c r="AZ208">
        <v>3560931.6751000001</v>
      </c>
    </row>
    <row r="209" spans="1:52" x14ac:dyDescent="0.35">
      <c r="A209" t="s">
        <v>247</v>
      </c>
      <c r="B209" t="s">
        <v>428</v>
      </c>
      <c r="C209">
        <v>37247.652261000003</v>
      </c>
      <c r="D209">
        <v>36495.644404999999</v>
      </c>
      <c r="E209">
        <v>40689.348983999997</v>
      </c>
      <c r="F209">
        <v>37257.002409000001</v>
      </c>
      <c r="G209">
        <v>43228.987667000001</v>
      </c>
      <c r="H209">
        <v>48448.357492000003</v>
      </c>
      <c r="I209">
        <v>64800.355600000003</v>
      </c>
      <c r="J209">
        <v>53981.153829000003</v>
      </c>
      <c r="K209">
        <v>48678.499098</v>
      </c>
      <c r="L209">
        <v>38233.796135999997</v>
      </c>
      <c r="M209">
        <v>38048.919249999999</v>
      </c>
      <c r="N209">
        <v>34502.445849000003</v>
      </c>
      <c r="O209">
        <v>27023.686727</v>
      </c>
      <c r="P209">
        <v>28366.246190000002</v>
      </c>
      <c r="Q209">
        <v>30602.536161</v>
      </c>
      <c r="R209">
        <v>40711.674142999997</v>
      </c>
      <c r="S209">
        <v>36863.174088</v>
      </c>
      <c r="AJ209">
        <v>7483187.3230999997</v>
      </c>
      <c r="AK209">
        <v>7659158.8063000003</v>
      </c>
      <c r="AL209">
        <v>7712549.7750000004</v>
      </c>
      <c r="AM209">
        <v>7884429.4556999998</v>
      </c>
      <c r="AN209">
        <v>7950537.0252</v>
      </c>
      <c r="AO209">
        <v>8200504.8216000004</v>
      </c>
      <c r="AP209">
        <v>8725160.7752999999</v>
      </c>
      <c r="AQ209">
        <v>8328362.1547999997</v>
      </c>
      <c r="AR209">
        <v>7884334.8510999996</v>
      </c>
      <c r="AS209">
        <v>8051992.7829999998</v>
      </c>
      <c r="AT209">
        <v>7721088.9699999997</v>
      </c>
      <c r="AU209">
        <v>7240208.6914999997</v>
      </c>
      <c r="AV209">
        <v>7125494.8426000001</v>
      </c>
      <c r="AW209">
        <v>7297565.6158999996</v>
      </c>
      <c r="AX209">
        <v>7087976.1475</v>
      </c>
      <c r="AY209">
        <v>7973973.1659000004</v>
      </c>
      <c r="AZ209">
        <v>6819317.5917999996</v>
      </c>
    </row>
    <row r="210" spans="1:52" x14ac:dyDescent="0.35">
      <c r="A210" t="s">
        <v>470</v>
      </c>
      <c r="B210" t="s">
        <v>483</v>
      </c>
      <c r="C210">
        <v>151511.54634</v>
      </c>
      <c r="D210">
        <v>201294.83991000001</v>
      </c>
      <c r="E210">
        <v>208246.86564999999</v>
      </c>
      <c r="F210">
        <v>138290.73645</v>
      </c>
      <c r="G210">
        <v>158898.31081</v>
      </c>
      <c r="H210">
        <v>156836.98313000001</v>
      </c>
      <c r="I210">
        <v>157311.78868</v>
      </c>
      <c r="J210">
        <v>179048.25904999999</v>
      </c>
      <c r="K210">
        <v>175118.93607</v>
      </c>
      <c r="L210">
        <v>177067.92483999999</v>
      </c>
      <c r="M210">
        <v>195038.15656</v>
      </c>
      <c r="N210">
        <v>181768.35814</v>
      </c>
      <c r="O210">
        <v>207581.84865</v>
      </c>
      <c r="P210">
        <v>203116.11671</v>
      </c>
      <c r="Q210">
        <v>228332.22849000001</v>
      </c>
      <c r="R210">
        <v>271294.20331000001</v>
      </c>
      <c r="S210">
        <v>163604.29577</v>
      </c>
    </row>
    <row r="211" spans="1:52" x14ac:dyDescent="0.35">
      <c r="A211" t="s">
        <v>471</v>
      </c>
      <c r="B211" t="s">
        <v>484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57.135467742000003</v>
      </c>
      <c r="R211">
        <v>0</v>
      </c>
      <c r="S211">
        <v>0</v>
      </c>
    </row>
    <row r="212" spans="1:52" x14ac:dyDescent="0.35">
      <c r="A212" t="s">
        <v>248</v>
      </c>
      <c r="B212" t="s">
        <v>429</v>
      </c>
      <c r="C212">
        <v>40327.081260999999</v>
      </c>
      <c r="D212">
        <v>49937.856048000001</v>
      </c>
      <c r="E212">
        <v>49665.761885</v>
      </c>
      <c r="F212">
        <v>46187.941636000003</v>
      </c>
      <c r="G212">
        <v>55406.072095000003</v>
      </c>
      <c r="H212">
        <v>57341.135376999999</v>
      </c>
      <c r="I212">
        <v>81104.103700000007</v>
      </c>
      <c r="J212">
        <v>186226.00216999999</v>
      </c>
      <c r="K212">
        <v>155552.73800000001</v>
      </c>
      <c r="L212">
        <v>89637.787909000006</v>
      </c>
      <c r="M212">
        <v>92735.916568000001</v>
      </c>
      <c r="N212">
        <v>86567.904985000001</v>
      </c>
      <c r="O212">
        <v>88767.334954999998</v>
      </c>
      <c r="P212">
        <v>126715.29904</v>
      </c>
      <c r="Q212">
        <v>124062.64435</v>
      </c>
      <c r="R212">
        <v>144251.73170999999</v>
      </c>
      <c r="S212">
        <v>125259.74397</v>
      </c>
      <c r="AJ212">
        <v>12809394.014</v>
      </c>
      <c r="AK212">
        <v>10681334.505000001</v>
      </c>
      <c r="AL212">
        <v>9942669.2214000002</v>
      </c>
      <c r="AM212">
        <v>11496211.287</v>
      </c>
      <c r="AN212">
        <v>10458562.435000001</v>
      </c>
      <c r="AO212">
        <v>12195846.082</v>
      </c>
      <c r="AP212">
        <v>14602763.795</v>
      </c>
      <c r="AQ212">
        <v>14339973.772</v>
      </c>
      <c r="AR212">
        <v>14835691.316</v>
      </c>
      <c r="AS212">
        <v>12601976.118000001</v>
      </c>
      <c r="AT212">
        <v>14578873.793</v>
      </c>
      <c r="AU212">
        <v>15934631.414000001</v>
      </c>
      <c r="AV212">
        <v>15038756.334000001</v>
      </c>
      <c r="AW212">
        <v>15677813.891000001</v>
      </c>
      <c r="AX212">
        <v>13915861.274</v>
      </c>
      <c r="AY212">
        <v>13223054.447000001</v>
      </c>
      <c r="AZ212">
        <v>10531272.832</v>
      </c>
    </row>
    <row r="213" spans="1:52" x14ac:dyDescent="0.35">
      <c r="A213" t="s">
        <v>241</v>
      </c>
      <c r="B213" t="s">
        <v>422</v>
      </c>
      <c r="C213">
        <v>28800.409825999999</v>
      </c>
      <c r="D213">
        <v>33445.635499999997</v>
      </c>
      <c r="E213">
        <v>33602.546918</v>
      </c>
      <c r="F213">
        <v>30516.344272999999</v>
      </c>
      <c r="G213">
        <v>30196.889595000001</v>
      </c>
      <c r="H213">
        <v>30032.175999999999</v>
      </c>
      <c r="I213">
        <v>37381.924550000003</v>
      </c>
      <c r="J213">
        <v>32870.421854</v>
      </c>
      <c r="K213">
        <v>33730.470917999999</v>
      </c>
      <c r="L213">
        <v>31911.4925</v>
      </c>
      <c r="M213">
        <v>34569.355044999997</v>
      </c>
      <c r="N213">
        <v>33238.737681999999</v>
      </c>
      <c r="O213">
        <v>33302.679182</v>
      </c>
      <c r="P213">
        <v>32703.477167000001</v>
      </c>
      <c r="Q213">
        <v>37731.678565000002</v>
      </c>
      <c r="R213">
        <v>49220.426095000003</v>
      </c>
      <c r="S213">
        <v>23744.726764999999</v>
      </c>
      <c r="AJ213">
        <v>8417264.1000999995</v>
      </c>
      <c r="AK213">
        <v>8443858.9313999992</v>
      </c>
      <c r="AL213">
        <v>7683980.3327000001</v>
      </c>
      <c r="AM213">
        <v>7730229.5694000004</v>
      </c>
      <c r="AN213">
        <v>6993545.2984999996</v>
      </c>
      <c r="AO213">
        <v>6801560.2736999998</v>
      </c>
      <c r="AP213">
        <v>6410552.7023999998</v>
      </c>
      <c r="AQ213">
        <v>6952706.0575999999</v>
      </c>
      <c r="AR213">
        <v>5773111.7878999999</v>
      </c>
      <c r="AS213">
        <v>6072117.5777000003</v>
      </c>
      <c r="AT213">
        <v>5980115.7961999997</v>
      </c>
      <c r="AU213">
        <v>5704110.4517999999</v>
      </c>
      <c r="AV213">
        <v>4613232.1856000004</v>
      </c>
      <c r="AW213">
        <v>4583660.1843999997</v>
      </c>
      <c r="AX213">
        <v>4920276.1759000001</v>
      </c>
      <c r="AY213">
        <v>4969088.4396000002</v>
      </c>
      <c r="AZ213">
        <v>4877104.4270000001</v>
      </c>
    </row>
    <row r="214" spans="1:52" x14ac:dyDescent="0.35">
      <c r="A214" t="s">
        <v>109</v>
      </c>
      <c r="B214" t="s">
        <v>293</v>
      </c>
      <c r="C214">
        <v>7147.1989565000003</v>
      </c>
      <c r="D214">
        <v>7747.4626189999999</v>
      </c>
      <c r="E214">
        <v>7264.8925902000001</v>
      </c>
      <c r="F214">
        <v>4053.6453182</v>
      </c>
      <c r="G214">
        <v>4512.5094523999996</v>
      </c>
      <c r="H214">
        <v>5074.5223933999996</v>
      </c>
      <c r="I214">
        <v>10248.223400000001</v>
      </c>
      <c r="J214">
        <v>10183.845463</v>
      </c>
      <c r="K214">
        <v>8380.6867868999998</v>
      </c>
      <c r="L214">
        <v>4204.0079090999998</v>
      </c>
      <c r="M214">
        <v>4234.5061136000004</v>
      </c>
      <c r="N214">
        <v>4060.2562423999998</v>
      </c>
      <c r="O214">
        <v>3792.0019545</v>
      </c>
      <c r="P214">
        <v>7179.6928095000003</v>
      </c>
      <c r="Q214">
        <v>7327.2325000000001</v>
      </c>
      <c r="R214">
        <v>6107.9867618999997</v>
      </c>
      <c r="S214">
        <v>3715.8584117999999</v>
      </c>
      <c r="AJ214">
        <v>1678338.9828000001</v>
      </c>
      <c r="AK214">
        <v>1515223.3066</v>
      </c>
      <c r="AL214">
        <v>1379011.5776</v>
      </c>
      <c r="AM214">
        <v>1462236.1392999999</v>
      </c>
      <c r="AN214">
        <v>1349239.0503</v>
      </c>
      <c r="AO214">
        <v>1399011.5776</v>
      </c>
      <c r="AP214">
        <v>1389595.1535</v>
      </c>
      <c r="AQ214">
        <v>1506627.8528</v>
      </c>
      <c r="AR214">
        <v>1545948.956</v>
      </c>
      <c r="AS214">
        <v>1384632.5432</v>
      </c>
      <c r="AT214">
        <v>1395386.9706999999</v>
      </c>
      <c r="AU214">
        <v>1435716.0739</v>
      </c>
      <c r="AV214">
        <v>1411518.612</v>
      </c>
      <c r="AW214">
        <v>1187019.9375</v>
      </c>
      <c r="AX214">
        <v>1275199.5578999999</v>
      </c>
      <c r="AY214">
        <v>1230059.7505999999</v>
      </c>
      <c r="AZ214">
        <v>839318.29310000001</v>
      </c>
    </row>
    <row r="215" spans="1:52" x14ac:dyDescent="0.35">
      <c r="A215" t="s">
        <v>245</v>
      </c>
      <c r="B215" t="s">
        <v>426</v>
      </c>
      <c r="C215">
        <v>17226.380434999999</v>
      </c>
      <c r="D215">
        <v>21917.001404999999</v>
      </c>
      <c r="E215">
        <v>20695.272131000002</v>
      </c>
      <c r="F215">
        <v>12560.595227</v>
      </c>
      <c r="G215">
        <v>21981.264428999999</v>
      </c>
      <c r="H215">
        <v>22886.950573999999</v>
      </c>
      <c r="I215">
        <v>55241.779549999999</v>
      </c>
      <c r="J215">
        <v>83226.942219000004</v>
      </c>
      <c r="K215">
        <v>82047.823655999993</v>
      </c>
      <c r="L215">
        <v>48646.390272999997</v>
      </c>
      <c r="M215">
        <v>42533.081431999999</v>
      </c>
      <c r="N215">
        <v>45939.309181999997</v>
      </c>
      <c r="O215">
        <v>89459.144409</v>
      </c>
      <c r="P215">
        <v>53555.839356999997</v>
      </c>
      <c r="Q215">
        <v>36279.762145000001</v>
      </c>
      <c r="R215">
        <v>0</v>
      </c>
      <c r="S215">
        <v>0</v>
      </c>
      <c r="AJ215">
        <v>5168363.0718</v>
      </c>
      <c r="AK215">
        <v>3929201.3232999998</v>
      </c>
      <c r="AL215">
        <v>3424785.9304999998</v>
      </c>
      <c r="AM215">
        <v>4022566.7475000001</v>
      </c>
      <c r="AN215">
        <v>5093590.7111999998</v>
      </c>
      <c r="AO215">
        <v>4788473.4192000004</v>
      </c>
      <c r="AP215">
        <v>6102345.8398000002</v>
      </c>
      <c r="AQ215">
        <v>7136008.5025000004</v>
      </c>
      <c r="AR215">
        <v>7272999.9397</v>
      </c>
      <c r="AS215">
        <v>7385083.8428999996</v>
      </c>
      <c r="AT215">
        <v>7578117.2317000004</v>
      </c>
      <c r="AU215">
        <v>7690201.1348999999</v>
      </c>
      <c r="AV215">
        <v>7814738.8051000005</v>
      </c>
      <c r="AW215">
        <v>7858326.9896</v>
      </c>
    </row>
    <row r="216" spans="1:52" x14ac:dyDescent="0.35">
      <c r="A216" t="s">
        <v>239</v>
      </c>
      <c r="B216" t="s">
        <v>420</v>
      </c>
      <c r="C216">
        <v>118827.00264999999</v>
      </c>
      <c r="D216">
        <v>98465.509833000004</v>
      </c>
      <c r="E216">
        <v>86861.164130999998</v>
      </c>
      <c r="F216">
        <v>69038.123909000002</v>
      </c>
      <c r="G216">
        <v>64534.593024000002</v>
      </c>
      <c r="H216">
        <v>63419.390590000003</v>
      </c>
      <c r="I216">
        <v>54328.414649999999</v>
      </c>
      <c r="J216">
        <v>71772.032804999995</v>
      </c>
      <c r="K216">
        <v>65790.474738000004</v>
      </c>
      <c r="L216">
        <v>39082.912955</v>
      </c>
      <c r="M216">
        <v>55061.821250000001</v>
      </c>
      <c r="N216">
        <v>72982.9185</v>
      </c>
      <c r="O216">
        <v>5747.8292726999998</v>
      </c>
      <c r="P216">
        <v>3010.7677143000001</v>
      </c>
      <c r="Q216">
        <v>2039.5523226</v>
      </c>
      <c r="R216">
        <v>0</v>
      </c>
      <c r="S216">
        <v>0</v>
      </c>
      <c r="AJ216">
        <v>10909591.92</v>
      </c>
      <c r="AK216">
        <v>11073710.880000001</v>
      </c>
      <c r="AL216">
        <v>11293113</v>
      </c>
      <c r="AM216">
        <v>11353320</v>
      </c>
      <c r="AN216">
        <v>11490936</v>
      </c>
      <c r="AO216">
        <v>11441542.199999999</v>
      </c>
      <c r="AP216">
        <v>11639254.800000001</v>
      </c>
      <c r="AQ216">
        <v>11759601.6</v>
      </c>
      <c r="AR216">
        <v>11951471.1</v>
      </c>
      <c r="AS216">
        <v>12072454.9</v>
      </c>
      <c r="AT216">
        <v>12288497.4</v>
      </c>
      <c r="AU216">
        <v>12461331.4</v>
      </c>
      <c r="AV216">
        <v>12461331.4</v>
      </c>
    </row>
    <row r="217" spans="1:52" x14ac:dyDescent="0.35">
      <c r="A217" t="s">
        <v>84</v>
      </c>
      <c r="B217" t="s">
        <v>38</v>
      </c>
      <c r="C217">
        <v>314429.08003999997</v>
      </c>
      <c r="D217">
        <v>363823.06037999998</v>
      </c>
      <c r="E217">
        <v>415150.14153999998</v>
      </c>
      <c r="F217">
        <v>303055.96859</v>
      </c>
      <c r="G217">
        <v>318383.32413999998</v>
      </c>
      <c r="H217">
        <v>313103.40814999997</v>
      </c>
      <c r="I217">
        <v>329871.71970000002</v>
      </c>
      <c r="J217">
        <v>321961.71122</v>
      </c>
      <c r="K217">
        <v>332502.924</v>
      </c>
      <c r="L217">
        <v>212415.63464</v>
      </c>
      <c r="M217">
        <v>222331.16589</v>
      </c>
      <c r="N217">
        <v>227807.56302</v>
      </c>
      <c r="O217">
        <v>221328.20058999999</v>
      </c>
      <c r="P217">
        <v>253937.45097999999</v>
      </c>
      <c r="Q217">
        <v>305113.36894999997</v>
      </c>
      <c r="R217">
        <v>308779.92176</v>
      </c>
      <c r="S217">
        <v>212616.66044000001</v>
      </c>
      <c r="AJ217">
        <v>74069484.060000002</v>
      </c>
      <c r="AK217">
        <v>77328690.067000002</v>
      </c>
      <c r="AL217">
        <v>76560360.134000003</v>
      </c>
      <c r="AM217">
        <v>77279120.393999994</v>
      </c>
      <c r="AN217">
        <v>69781707.334999993</v>
      </c>
      <c r="AO217">
        <v>65574749.656999998</v>
      </c>
      <c r="AP217">
        <v>62032177.234999999</v>
      </c>
      <c r="AQ217">
        <v>61499552.710000001</v>
      </c>
      <c r="AR217">
        <v>63290899.890000001</v>
      </c>
      <c r="AS217">
        <v>64489731.619999997</v>
      </c>
      <c r="AT217">
        <v>64823427.049999997</v>
      </c>
      <c r="AU217">
        <v>61671859.100000001</v>
      </c>
      <c r="AV217">
        <v>60423591.009999998</v>
      </c>
      <c r="AW217">
        <v>58804550.219999999</v>
      </c>
      <c r="AX217">
        <v>63587507.142999999</v>
      </c>
      <c r="AY217">
        <v>60967380.512000002</v>
      </c>
      <c r="AZ217">
        <v>50040688.178999998</v>
      </c>
    </row>
    <row r="218" spans="1:52" x14ac:dyDescent="0.35">
      <c r="A218" t="s">
        <v>85</v>
      </c>
      <c r="B218" t="s">
        <v>39</v>
      </c>
      <c r="C218">
        <v>55315.396782999997</v>
      </c>
      <c r="D218">
        <v>63735.7045</v>
      </c>
      <c r="E218">
        <v>68039.940885000004</v>
      </c>
      <c r="F218">
        <v>61017.732636000001</v>
      </c>
      <c r="G218">
        <v>54208.736524</v>
      </c>
      <c r="H218">
        <v>54444.701426</v>
      </c>
      <c r="I218">
        <v>58127.721299999997</v>
      </c>
      <c r="J218">
        <v>64273.476293</v>
      </c>
      <c r="K218">
        <v>61102.015115000002</v>
      </c>
      <c r="L218">
        <v>38461.210363999999</v>
      </c>
      <c r="M218">
        <v>56550.940659</v>
      </c>
      <c r="N218">
        <v>57064.246758000001</v>
      </c>
      <c r="O218">
        <v>56421.878955</v>
      </c>
      <c r="P218">
        <v>87618.588048000005</v>
      </c>
      <c r="Q218">
        <v>92091.450838999997</v>
      </c>
      <c r="R218">
        <v>83548.099856999994</v>
      </c>
      <c r="S218">
        <v>81662.348765000002</v>
      </c>
      <c r="AJ218">
        <v>12004797.210000001</v>
      </c>
      <c r="AK218">
        <v>11730180.85</v>
      </c>
      <c r="AL218">
        <v>11346297.550000001</v>
      </c>
      <c r="AM218">
        <v>11395023.880000001</v>
      </c>
      <c r="AN218">
        <v>11319740.67</v>
      </c>
      <c r="AO218">
        <v>11678516.1</v>
      </c>
      <c r="AP218">
        <v>12354716.98</v>
      </c>
      <c r="AQ218">
        <v>12164249.59</v>
      </c>
      <c r="AR218">
        <v>11950173.84</v>
      </c>
      <c r="AS218">
        <v>11520532.93</v>
      </c>
      <c r="AT218">
        <v>11929493.800000001</v>
      </c>
      <c r="AU218">
        <v>12576169.08</v>
      </c>
      <c r="AV218">
        <v>13069299.119999999</v>
      </c>
      <c r="AW218">
        <v>14854270.109999999</v>
      </c>
      <c r="AX218">
        <v>14445309.24</v>
      </c>
      <c r="AY218">
        <v>14482221.289999999</v>
      </c>
      <c r="AZ218">
        <v>12794662.560000001</v>
      </c>
    </row>
    <row r="219" spans="1:52" x14ac:dyDescent="0.35">
      <c r="A219" t="s">
        <v>86</v>
      </c>
      <c r="B219" t="s">
        <v>40</v>
      </c>
      <c r="C219">
        <v>2350.9561303999999</v>
      </c>
      <c r="D219">
        <v>2973.9251666999999</v>
      </c>
      <c r="E219">
        <v>3021.7088524999999</v>
      </c>
      <c r="F219">
        <v>1864.1077273000001</v>
      </c>
      <c r="G219">
        <v>1811.453</v>
      </c>
      <c r="H219">
        <v>1743.9845574000001</v>
      </c>
      <c r="I219">
        <v>2617.03865</v>
      </c>
      <c r="J219">
        <v>3044.4624146000001</v>
      </c>
      <c r="K219">
        <v>2576.2901474999999</v>
      </c>
      <c r="L219">
        <v>2890.7125000000001</v>
      </c>
      <c r="M219">
        <v>2374.6374317999998</v>
      </c>
      <c r="N219">
        <v>2310.7782424000002</v>
      </c>
      <c r="O219">
        <v>1168.3553635999999</v>
      </c>
      <c r="P219">
        <v>1373.8867619</v>
      </c>
      <c r="Q219">
        <v>1439.3261613</v>
      </c>
      <c r="R219">
        <v>2849.9671905</v>
      </c>
      <c r="S219">
        <v>1142.4252059</v>
      </c>
      <c r="AJ219">
        <v>1203582.3995000001</v>
      </c>
      <c r="AK219">
        <v>1161990.5578999999</v>
      </c>
      <c r="AL219">
        <v>1066684.5219000001</v>
      </c>
      <c r="AM219">
        <v>1022249.4303</v>
      </c>
      <c r="AN219">
        <v>1011085.3712000001</v>
      </c>
      <c r="AO219">
        <v>1031566.5936</v>
      </c>
      <c r="AP219">
        <v>1075002.1963</v>
      </c>
      <c r="AQ219">
        <v>1083259.6283</v>
      </c>
      <c r="AR219">
        <v>982497.79974000005</v>
      </c>
      <c r="AS219">
        <v>759778.43333999999</v>
      </c>
      <c r="AT219">
        <v>690126.73254999996</v>
      </c>
      <c r="AU219">
        <v>699693.10378999996</v>
      </c>
      <c r="AV219">
        <v>724275.03578999999</v>
      </c>
      <c r="AW219">
        <v>662286.81174999999</v>
      </c>
      <c r="AX219">
        <v>669987.19022999995</v>
      </c>
      <c r="AY219">
        <v>752840.35780999996</v>
      </c>
      <c r="AZ219">
        <v>729147.30330999999</v>
      </c>
    </row>
    <row r="220" spans="1:52" x14ac:dyDescent="0.35">
      <c r="A220" t="s">
        <v>251</v>
      </c>
      <c r="B220" t="s">
        <v>432</v>
      </c>
      <c r="C220">
        <v>211.33304347999999</v>
      </c>
      <c r="D220">
        <v>181.53997619</v>
      </c>
      <c r="E220">
        <v>170.25268851999999</v>
      </c>
      <c r="F220">
        <v>141.40527273000001</v>
      </c>
      <c r="G220">
        <v>121.99214284999999</v>
      </c>
      <c r="H220">
        <v>107.30814753999999</v>
      </c>
      <c r="I220">
        <v>167.5479</v>
      </c>
      <c r="J220">
        <v>126.18219512</v>
      </c>
      <c r="K220">
        <v>171.29824590000001</v>
      </c>
      <c r="L220">
        <v>332.71249999999998</v>
      </c>
      <c r="M220">
        <v>224.76293182000001</v>
      </c>
      <c r="N220">
        <v>181.95466666999999</v>
      </c>
      <c r="O220">
        <v>62.086545455</v>
      </c>
      <c r="P220">
        <v>76.924880951999995</v>
      </c>
      <c r="Q220">
        <v>89.970435484000006</v>
      </c>
      <c r="R220">
        <v>211.87838095000001</v>
      </c>
      <c r="S220">
        <v>59.553205882</v>
      </c>
      <c r="AJ220">
        <v>100121.84</v>
      </c>
      <c r="AK220">
        <v>100858.03</v>
      </c>
      <c r="AL220">
        <v>92023.75</v>
      </c>
      <c r="AM220">
        <v>117790.39999999999</v>
      </c>
      <c r="AN220">
        <v>99385.65</v>
      </c>
      <c r="AO220">
        <v>108956.12</v>
      </c>
      <c r="AP220">
        <v>95704.7</v>
      </c>
      <c r="AQ220">
        <v>88342.8</v>
      </c>
      <c r="AR220">
        <v>126624.68</v>
      </c>
      <c r="AS220">
        <v>119998.97</v>
      </c>
      <c r="AT220">
        <v>113373.26</v>
      </c>
      <c r="AU220">
        <v>112637.07</v>
      </c>
      <c r="AV220">
        <v>99385.65</v>
      </c>
      <c r="AW220">
        <v>97177.08</v>
      </c>
      <c r="AX220">
        <v>83189.47</v>
      </c>
      <c r="AY220">
        <v>110428.5</v>
      </c>
      <c r="AZ220">
        <v>51533.3</v>
      </c>
    </row>
    <row r="221" spans="1:52" x14ac:dyDescent="0.35">
      <c r="A221" t="s">
        <v>254</v>
      </c>
      <c r="B221" t="s">
        <v>435</v>
      </c>
      <c r="C221">
        <v>40582.378042999997</v>
      </c>
      <c r="D221">
        <v>51618.015786000004</v>
      </c>
      <c r="E221">
        <v>50559.030343999999</v>
      </c>
      <c r="F221">
        <v>34506.319908999998</v>
      </c>
      <c r="G221">
        <v>37615.251475999998</v>
      </c>
      <c r="H221">
        <v>37520.635458999997</v>
      </c>
      <c r="I221">
        <v>31634.340400000001</v>
      </c>
      <c r="J221">
        <v>39854.409537</v>
      </c>
      <c r="K221">
        <v>41759.379820000002</v>
      </c>
      <c r="L221">
        <v>36614.857273000001</v>
      </c>
      <c r="M221">
        <v>38321.808955</v>
      </c>
      <c r="N221">
        <v>39820.867423999996</v>
      </c>
      <c r="O221">
        <v>50162.733818000001</v>
      </c>
      <c r="P221">
        <v>51586.957285999997</v>
      </c>
      <c r="Q221">
        <v>55965.763355000003</v>
      </c>
      <c r="R221">
        <v>60118.571429000003</v>
      </c>
      <c r="S221">
        <v>81402.830352999998</v>
      </c>
      <c r="AJ221">
        <v>1847640.94</v>
      </c>
      <c r="AK221">
        <v>1724546.94</v>
      </c>
      <c r="AL221">
        <v>1531289.36</v>
      </c>
      <c r="AM221">
        <v>1761444.5092</v>
      </c>
      <c r="AN221">
        <v>1805572.5554</v>
      </c>
      <c r="AO221">
        <v>1691576.4</v>
      </c>
      <c r="AP221">
        <v>1979634.7</v>
      </c>
      <c r="AQ221">
        <v>2830326.02</v>
      </c>
      <c r="AR221">
        <v>2990903.2</v>
      </c>
      <c r="AS221">
        <v>2636652.7799999998</v>
      </c>
      <c r="AT221">
        <v>2925936.86</v>
      </c>
      <c r="AU221">
        <v>3198060.02</v>
      </c>
      <c r="AV221">
        <v>2889163.46</v>
      </c>
      <c r="AW221">
        <v>3364766.1</v>
      </c>
      <c r="AX221">
        <v>2976229.92</v>
      </c>
      <c r="AY221">
        <v>3344623.2</v>
      </c>
      <c r="AZ221">
        <v>4109081.0561000002</v>
      </c>
    </row>
    <row r="222" spans="1:52" x14ac:dyDescent="0.35">
      <c r="A222" t="s">
        <v>257</v>
      </c>
      <c r="B222" t="s">
        <v>438</v>
      </c>
      <c r="C222">
        <v>1959.7896957</v>
      </c>
      <c r="D222">
        <v>4727.8923570999996</v>
      </c>
      <c r="E222">
        <v>4887.5508852000003</v>
      </c>
      <c r="F222">
        <v>3551.8514091000002</v>
      </c>
      <c r="G222">
        <v>3689.5651189999999</v>
      </c>
      <c r="H222">
        <v>3852.3589179999999</v>
      </c>
      <c r="I222">
        <v>4947.9791999999998</v>
      </c>
      <c r="J222">
        <v>7473.5761462999999</v>
      </c>
      <c r="K222">
        <v>6870.6287541000002</v>
      </c>
      <c r="L222">
        <v>7047.1025</v>
      </c>
      <c r="M222">
        <v>8523.8998408999996</v>
      </c>
      <c r="N222">
        <v>8654.8039241999995</v>
      </c>
      <c r="O222">
        <v>13293.606136</v>
      </c>
      <c r="P222">
        <v>14404.313142000001</v>
      </c>
      <c r="Q222">
        <v>13201.144967</v>
      </c>
      <c r="R222">
        <v>10119.163857</v>
      </c>
      <c r="S222">
        <v>6942.7077353000004</v>
      </c>
      <c r="AJ222">
        <v>1661067.2104</v>
      </c>
      <c r="AK222">
        <v>1419865.0891</v>
      </c>
      <c r="AL222">
        <v>1391655.8489000001</v>
      </c>
      <c r="AM222">
        <v>1515463.0697000001</v>
      </c>
      <c r="AN222">
        <v>1538970.7697999999</v>
      </c>
      <c r="AO222">
        <v>1705091.8509</v>
      </c>
      <c r="AP222">
        <v>1810092.9116</v>
      </c>
      <c r="AQ222">
        <v>2270843.8344999999</v>
      </c>
      <c r="AR222">
        <v>2341366.9349000002</v>
      </c>
      <c r="AS222">
        <v>2284948.4545999998</v>
      </c>
      <c r="AT222">
        <v>2462039.7957000001</v>
      </c>
      <c r="AU222">
        <v>2665773.1970000002</v>
      </c>
      <c r="AV222">
        <v>2838162.9981</v>
      </c>
      <c r="AW222">
        <v>2798983.4978999998</v>
      </c>
      <c r="AX222">
        <v>2554503.4163000002</v>
      </c>
      <c r="AY222">
        <v>2444800.8155999999</v>
      </c>
      <c r="AZ222">
        <v>2059274.5330999999</v>
      </c>
    </row>
    <row r="223" spans="1:52" x14ac:dyDescent="0.35">
      <c r="A223" t="s">
        <v>252</v>
      </c>
      <c r="B223" t="s">
        <v>433</v>
      </c>
      <c r="C223">
        <v>6851.0114782999999</v>
      </c>
      <c r="D223">
        <v>7833.7336905000002</v>
      </c>
      <c r="E223">
        <v>8486.8065081999994</v>
      </c>
      <c r="F223">
        <v>5728.6570000000002</v>
      </c>
      <c r="G223">
        <v>6315.2746189999998</v>
      </c>
      <c r="H223">
        <v>7267.7142623</v>
      </c>
      <c r="I223">
        <v>8097.8124500000004</v>
      </c>
      <c r="J223">
        <v>8579.8886340999998</v>
      </c>
      <c r="K223">
        <v>9237.3196721000004</v>
      </c>
      <c r="L223">
        <v>9255.3739091000007</v>
      </c>
      <c r="M223">
        <v>8868.7951818000001</v>
      </c>
      <c r="N223">
        <v>8063.8506364000004</v>
      </c>
      <c r="O223">
        <v>7505.5702272999997</v>
      </c>
      <c r="P223">
        <v>8282.6557142999991</v>
      </c>
      <c r="Q223">
        <v>7593.9628387000002</v>
      </c>
      <c r="R223">
        <v>7480.5381905000004</v>
      </c>
      <c r="S223">
        <v>7771.2021765</v>
      </c>
      <c r="AJ223">
        <v>1946483.0294000001</v>
      </c>
      <c r="AK223">
        <v>2017695.8232</v>
      </c>
      <c r="AL223">
        <v>1887798.4124</v>
      </c>
      <c r="AM223">
        <v>1995936.3584</v>
      </c>
      <c r="AN223">
        <v>2129790.0356000001</v>
      </c>
      <c r="AO223">
        <v>2218806.0277999998</v>
      </c>
      <c r="AP223">
        <v>2351340.9495000001</v>
      </c>
      <c r="AQ223">
        <v>2421894.3656000001</v>
      </c>
      <c r="AR223">
        <v>2315734.5526000001</v>
      </c>
      <c r="AS223">
        <v>2417938.0992000001</v>
      </c>
      <c r="AT223">
        <v>2406728.6779999998</v>
      </c>
      <c r="AU223">
        <v>2289359.4438</v>
      </c>
      <c r="AV223">
        <v>2402113.034</v>
      </c>
      <c r="AW223">
        <v>2636192.1246000002</v>
      </c>
      <c r="AX223">
        <v>2439038.1863000002</v>
      </c>
      <c r="AY223">
        <v>2571573.108</v>
      </c>
      <c r="AZ223">
        <v>2208915.3620000002</v>
      </c>
    </row>
    <row r="224" spans="1:52" x14ac:dyDescent="0.35">
      <c r="A224" t="s">
        <v>255</v>
      </c>
      <c r="B224" t="s">
        <v>436</v>
      </c>
      <c r="C224">
        <v>124567.07812999999</v>
      </c>
      <c r="D224">
        <v>131224.12419</v>
      </c>
      <c r="E224">
        <v>131355.4112</v>
      </c>
      <c r="F224">
        <v>116055.851</v>
      </c>
      <c r="G224">
        <v>125648.44604</v>
      </c>
      <c r="H224">
        <v>124639.46571999999</v>
      </c>
      <c r="I224">
        <v>111621.43184999999</v>
      </c>
      <c r="J224">
        <v>125969.11603999999</v>
      </c>
      <c r="K224">
        <v>130949.18114</v>
      </c>
      <c r="L224">
        <v>124288.06886</v>
      </c>
      <c r="M224">
        <v>124311.23125</v>
      </c>
      <c r="N224">
        <v>124975.86903</v>
      </c>
      <c r="O224">
        <v>151025.44785999999</v>
      </c>
      <c r="P224">
        <v>149310.07978999999</v>
      </c>
      <c r="Q224">
        <v>154425.72369000001</v>
      </c>
      <c r="R224">
        <v>165525.73362000001</v>
      </c>
      <c r="S224">
        <v>164569.13071</v>
      </c>
      <c r="AJ224">
        <v>40130408.344999999</v>
      </c>
      <c r="AK224">
        <v>38339304.473999999</v>
      </c>
      <c r="AL224">
        <v>35050332.568999998</v>
      </c>
      <c r="AM224">
        <v>37858232.140000001</v>
      </c>
      <c r="AN224">
        <v>39141151.770999998</v>
      </c>
      <c r="AO224">
        <v>43556477.004000001</v>
      </c>
      <c r="AP224">
        <v>45855291.068000004</v>
      </c>
      <c r="AQ224">
        <v>47161985.377999999</v>
      </c>
      <c r="AR224">
        <v>53310293.335000001</v>
      </c>
      <c r="AS224">
        <v>48378184.564000003</v>
      </c>
      <c r="AT224">
        <v>55002683.600000001</v>
      </c>
      <c r="AU224">
        <v>56515643.240999997</v>
      </c>
      <c r="AV224">
        <v>58415530.822999999</v>
      </c>
      <c r="AW224">
        <v>60916648.651000001</v>
      </c>
      <c r="AX224">
        <v>50974181.990999997</v>
      </c>
      <c r="AY224">
        <v>58570147.255000003</v>
      </c>
      <c r="AZ224">
        <v>43354330.044</v>
      </c>
    </row>
    <row r="225" spans="1:52" x14ac:dyDescent="0.35">
      <c r="A225" t="s">
        <v>256</v>
      </c>
      <c r="B225" t="s">
        <v>437</v>
      </c>
      <c r="C225">
        <v>93759.849000000002</v>
      </c>
      <c r="D225">
        <v>127667.30911</v>
      </c>
      <c r="E225">
        <v>121487.12398</v>
      </c>
      <c r="F225">
        <v>97898.618499999997</v>
      </c>
      <c r="G225">
        <v>137451.99601999999</v>
      </c>
      <c r="H225">
        <v>137395.67358999999</v>
      </c>
      <c r="I225">
        <v>120949.28939999999</v>
      </c>
      <c r="J225">
        <v>152233.13146</v>
      </c>
      <c r="K225">
        <v>140376.16125999999</v>
      </c>
      <c r="L225">
        <v>129134.8959</v>
      </c>
      <c r="M225">
        <v>131837.25407</v>
      </c>
      <c r="N225">
        <v>121723.26437</v>
      </c>
      <c r="O225">
        <v>110837.87222</v>
      </c>
      <c r="P225">
        <v>116588.41572999999</v>
      </c>
      <c r="Q225">
        <v>120177.22818999999</v>
      </c>
      <c r="R225">
        <v>153688.38381</v>
      </c>
      <c r="S225">
        <v>124287.86414000001</v>
      </c>
      <c r="AJ225">
        <v>17685808.934999999</v>
      </c>
      <c r="AK225">
        <v>16275211.573999999</v>
      </c>
      <c r="AL225">
        <v>15672537.705</v>
      </c>
      <c r="AM225">
        <v>19105848.769000001</v>
      </c>
      <c r="AN225">
        <v>20482688.530000001</v>
      </c>
      <c r="AO225">
        <v>19551773.452</v>
      </c>
      <c r="AP225">
        <v>22041885.443999998</v>
      </c>
      <c r="AQ225">
        <v>24731206.396000002</v>
      </c>
      <c r="AR225">
        <v>24803604.059</v>
      </c>
      <c r="AS225">
        <v>25726173.554000001</v>
      </c>
      <c r="AT225">
        <v>25326589.313999999</v>
      </c>
      <c r="AU225">
        <v>26989776.820999999</v>
      </c>
      <c r="AV225">
        <v>26073076.368000001</v>
      </c>
      <c r="AW225">
        <v>25150499.629000001</v>
      </c>
      <c r="AX225">
        <v>24728020.848000001</v>
      </c>
      <c r="AY225">
        <v>26191252.120000001</v>
      </c>
      <c r="AZ225">
        <v>17522571.241999999</v>
      </c>
    </row>
    <row r="226" spans="1:52" x14ac:dyDescent="0.35">
      <c r="A226" t="s">
        <v>258</v>
      </c>
      <c r="B226" t="s">
        <v>439</v>
      </c>
      <c r="C226">
        <v>2785.6479565</v>
      </c>
      <c r="D226">
        <v>2932.8373571000002</v>
      </c>
      <c r="E226">
        <v>2927.2124097999999</v>
      </c>
      <c r="F226">
        <v>3381.8035</v>
      </c>
      <c r="G226">
        <v>2898.6419286</v>
      </c>
      <c r="H226">
        <v>3058.5074261999998</v>
      </c>
      <c r="I226">
        <v>3615.3202000000001</v>
      </c>
      <c r="J226">
        <v>4406.7620244</v>
      </c>
      <c r="K226">
        <v>4167.6568033000003</v>
      </c>
      <c r="L226">
        <v>2437.6250454999999</v>
      </c>
      <c r="M226">
        <v>2268.8760000000002</v>
      </c>
      <c r="N226">
        <v>2410.8330000000001</v>
      </c>
      <c r="O226">
        <v>3899.1685908999998</v>
      </c>
      <c r="P226">
        <v>3688.3389999999999</v>
      </c>
      <c r="Q226">
        <v>3495.7558709999998</v>
      </c>
      <c r="R226">
        <v>2305.1941904999999</v>
      </c>
      <c r="S226">
        <v>1570.0177940999999</v>
      </c>
      <c r="AJ226">
        <v>958098.35</v>
      </c>
      <c r="AK226">
        <v>959909.5</v>
      </c>
      <c r="AL226">
        <v>792115.38</v>
      </c>
      <c r="AM226">
        <v>964548.66</v>
      </c>
      <c r="AN226">
        <v>1002268.44</v>
      </c>
      <c r="AO226">
        <v>1122612.5</v>
      </c>
      <c r="AP226">
        <v>1250141.28</v>
      </c>
      <c r="AQ226">
        <v>1399224.22</v>
      </c>
      <c r="AR226">
        <v>1293249.6000000001</v>
      </c>
      <c r="AS226">
        <v>1119020.1399999999</v>
      </c>
      <c r="AT226">
        <v>1158536.1000000001</v>
      </c>
      <c r="AU226">
        <v>1318396.1200000001</v>
      </c>
      <c r="AV226">
        <v>1372281.52</v>
      </c>
      <c r="AW226">
        <v>1596804.02</v>
      </c>
      <c r="AX226">
        <v>1461822.68</v>
      </c>
      <c r="AY226">
        <v>1655642.62</v>
      </c>
      <c r="AZ226">
        <v>1000897.358</v>
      </c>
    </row>
    <row r="227" spans="1:52" x14ac:dyDescent="0.35">
      <c r="A227" t="s">
        <v>184</v>
      </c>
      <c r="B227" t="s">
        <v>366</v>
      </c>
      <c r="C227">
        <v>56206.993564999997</v>
      </c>
      <c r="D227">
        <v>55362.202713999999</v>
      </c>
      <c r="E227">
        <v>65389.179196999998</v>
      </c>
      <c r="F227">
        <v>79646.958455</v>
      </c>
      <c r="G227">
        <v>72519.588428999996</v>
      </c>
      <c r="H227">
        <v>67647.938328000004</v>
      </c>
      <c r="I227">
        <v>50794.160250000001</v>
      </c>
      <c r="J227">
        <v>49235.633292999999</v>
      </c>
      <c r="K227">
        <v>45572.759393</v>
      </c>
      <c r="L227">
        <v>31288.378045000001</v>
      </c>
      <c r="M227">
        <v>39538.441545000001</v>
      </c>
      <c r="N227">
        <v>42188.029908999997</v>
      </c>
      <c r="O227">
        <v>59009.777409000002</v>
      </c>
      <c r="P227">
        <v>52235.444190000002</v>
      </c>
      <c r="Q227">
        <v>55187.366532</v>
      </c>
      <c r="R227">
        <v>52136.599238000003</v>
      </c>
      <c r="S227">
        <v>99428.095117999997</v>
      </c>
      <c r="AJ227">
        <v>17709243.863000002</v>
      </c>
      <c r="AK227">
        <v>17832518.596000001</v>
      </c>
      <c r="AL227">
        <v>17090279.059999999</v>
      </c>
      <c r="AM227">
        <v>17988482.896000002</v>
      </c>
      <c r="AN227">
        <v>17465666.488000002</v>
      </c>
      <c r="AO227">
        <v>17087321.390999999</v>
      </c>
      <c r="AP227">
        <v>17883009.206</v>
      </c>
      <c r="AQ227">
        <v>17623236.921999998</v>
      </c>
      <c r="AR227">
        <v>17112011.015999999</v>
      </c>
      <c r="AS227">
        <v>17048297.59</v>
      </c>
      <c r="AT227">
        <v>17175626.929000001</v>
      </c>
      <c r="AU227">
        <v>17969937.026999999</v>
      </c>
      <c r="AV227">
        <v>18063813.004999999</v>
      </c>
      <c r="AW227">
        <v>19675699.958999999</v>
      </c>
      <c r="AX227">
        <v>19811923.941</v>
      </c>
      <c r="AY227">
        <v>19862845.204</v>
      </c>
      <c r="AZ227">
        <v>18966079.471999999</v>
      </c>
    </row>
    <row r="228" spans="1:52" x14ac:dyDescent="0.35">
      <c r="A228" t="s">
        <v>250</v>
      </c>
      <c r="B228" t="s">
        <v>431</v>
      </c>
      <c r="C228">
        <v>12289.728042999999</v>
      </c>
      <c r="D228">
        <v>11501.9733</v>
      </c>
      <c r="E228">
        <v>10334.463669000001</v>
      </c>
      <c r="F228">
        <v>10952.910431</v>
      </c>
      <c r="G228">
        <v>7951.5382425999996</v>
      </c>
      <c r="H228">
        <v>7262.6078004999999</v>
      </c>
      <c r="I228">
        <v>9509.1146774999997</v>
      </c>
      <c r="J228">
        <v>7390.6009998</v>
      </c>
      <c r="K228">
        <v>7012.5811942999999</v>
      </c>
      <c r="L228">
        <v>5174.5233099999996</v>
      </c>
      <c r="M228">
        <v>5442.3881351999999</v>
      </c>
      <c r="N228">
        <v>6513.4072624</v>
      </c>
      <c r="O228">
        <v>18629.249619999999</v>
      </c>
      <c r="P228">
        <v>15998.356922999999</v>
      </c>
      <c r="Q228">
        <v>13493.813662</v>
      </c>
      <c r="R228">
        <v>17379.532261</v>
      </c>
      <c r="S228">
        <v>35735.826632999997</v>
      </c>
    </row>
    <row r="229" spans="1:52" x14ac:dyDescent="0.35">
      <c r="A229" t="s">
        <v>92</v>
      </c>
      <c r="B229" t="s">
        <v>276</v>
      </c>
      <c r="C229">
        <v>8690.2850435</v>
      </c>
      <c r="D229">
        <v>14341.948881</v>
      </c>
      <c r="E229">
        <v>15521.867114000001</v>
      </c>
      <c r="F229">
        <v>15244.281136</v>
      </c>
      <c r="G229">
        <v>19304.342928999999</v>
      </c>
      <c r="H229">
        <v>17762.455344000002</v>
      </c>
      <c r="I229">
        <v>21290.044300000001</v>
      </c>
      <c r="J229">
        <v>22030.597658999999</v>
      </c>
      <c r="K229">
        <v>25609.180294999998</v>
      </c>
      <c r="L229">
        <v>15530.41109</v>
      </c>
      <c r="M229">
        <v>15375.394931000001</v>
      </c>
      <c r="N229">
        <v>15179.193121</v>
      </c>
      <c r="O229">
        <v>15035.436636</v>
      </c>
      <c r="P229">
        <v>17953.622381000001</v>
      </c>
      <c r="Q229">
        <v>18785.097645000002</v>
      </c>
      <c r="R229">
        <v>21038.338381000001</v>
      </c>
      <c r="S229">
        <v>24325.166940999999</v>
      </c>
      <c r="AJ229">
        <v>5664397.5599999996</v>
      </c>
      <c r="AK229">
        <v>6785320.5599999996</v>
      </c>
      <c r="AL229">
        <v>6845098.2697999999</v>
      </c>
      <c r="AM229">
        <v>8020821.1167000001</v>
      </c>
      <c r="AN229">
        <v>7313394.6579999998</v>
      </c>
      <c r="AO229">
        <v>7215446.8770000003</v>
      </c>
      <c r="AP229">
        <v>8066959.2413999997</v>
      </c>
      <c r="AQ229">
        <v>6946548.2356000002</v>
      </c>
      <c r="AR229">
        <v>7543674.2542000003</v>
      </c>
      <c r="AS229">
        <v>6849716.1327999998</v>
      </c>
      <c r="AT229">
        <v>7304034.0395999998</v>
      </c>
      <c r="AU229">
        <v>6982736.6491</v>
      </c>
      <c r="AV229">
        <v>7996681.9565000003</v>
      </c>
      <c r="AW229">
        <v>7647045.6436000001</v>
      </c>
      <c r="AX229">
        <v>8150412.4644999998</v>
      </c>
      <c r="AY229">
        <v>8311354.6381000001</v>
      </c>
      <c r="AZ229">
        <v>5149532.1995999999</v>
      </c>
    </row>
    <row r="230" spans="1:52" x14ac:dyDescent="0.35">
      <c r="A230" t="s">
        <v>87</v>
      </c>
      <c r="B230" t="s">
        <v>41</v>
      </c>
      <c r="C230">
        <v>12378.700999999999</v>
      </c>
      <c r="D230">
        <v>15147.232214</v>
      </c>
      <c r="E230">
        <v>17729.651819999999</v>
      </c>
      <c r="F230">
        <v>13216.545818000001</v>
      </c>
      <c r="G230">
        <v>10498.404976</v>
      </c>
      <c r="H230">
        <v>12005.495901</v>
      </c>
      <c r="I230">
        <v>26470.633000000002</v>
      </c>
      <c r="J230">
        <v>18889.268585000002</v>
      </c>
      <c r="K230">
        <v>15052.900589999999</v>
      </c>
      <c r="L230">
        <v>8221.1605455000008</v>
      </c>
      <c r="M230">
        <v>9795.7720227000009</v>
      </c>
      <c r="N230">
        <v>9882.0817423999997</v>
      </c>
      <c r="O230">
        <v>9349.5829090999996</v>
      </c>
      <c r="P230">
        <v>12088.666095</v>
      </c>
      <c r="Q230">
        <v>11705.671467</v>
      </c>
      <c r="R230">
        <v>17708.233618999999</v>
      </c>
      <c r="S230">
        <v>12264.039941000001</v>
      </c>
      <c r="AJ230">
        <v>3339376.9</v>
      </c>
      <c r="AK230">
        <v>2957529.52</v>
      </c>
      <c r="AL230">
        <v>3071561.0507999999</v>
      </c>
      <c r="AM230">
        <v>2989991.97</v>
      </c>
      <c r="AN230">
        <v>2811220.2</v>
      </c>
      <c r="AO230">
        <v>2457091</v>
      </c>
      <c r="AP230">
        <v>2895857.25</v>
      </c>
      <c r="AQ230">
        <v>2598846.25</v>
      </c>
      <c r="AR230">
        <v>2385927.2200000002</v>
      </c>
      <c r="AS230">
        <v>2171167.58</v>
      </c>
      <c r="AT230">
        <v>1885694.4</v>
      </c>
      <c r="AU230">
        <v>1710228.6</v>
      </c>
      <c r="AV230">
        <v>1622423.76</v>
      </c>
      <c r="AW230">
        <v>1632907.92</v>
      </c>
      <c r="AX230">
        <v>1610936.33</v>
      </c>
      <c r="AY230">
        <v>1637151.73</v>
      </c>
      <c r="AZ230">
        <v>1980633.91</v>
      </c>
    </row>
    <row r="231" spans="1:52" x14ac:dyDescent="0.35">
      <c r="A231" t="s">
        <v>260</v>
      </c>
      <c r="B231" t="s">
        <v>441</v>
      </c>
      <c r="C231">
        <v>44.068043478</v>
      </c>
      <c r="D231">
        <v>52.429904762</v>
      </c>
      <c r="E231">
        <v>85.019016393000001</v>
      </c>
      <c r="F231">
        <v>93.569590908999999</v>
      </c>
      <c r="G231">
        <v>83.988547619000002</v>
      </c>
      <c r="H231">
        <v>86.038442622999995</v>
      </c>
      <c r="I231">
        <v>111.9842</v>
      </c>
      <c r="J231">
        <v>112.41675609000001</v>
      </c>
      <c r="K231">
        <v>86.977245902000007</v>
      </c>
      <c r="L231">
        <v>41.373545454999999</v>
      </c>
      <c r="M231">
        <v>34.912068181999999</v>
      </c>
      <c r="N231">
        <v>44.927545455000001</v>
      </c>
      <c r="O231">
        <v>78.595681818000003</v>
      </c>
      <c r="P231">
        <v>78.865690475999997</v>
      </c>
      <c r="Q231">
        <v>69.229193547999998</v>
      </c>
      <c r="R231">
        <v>64.204523809999998</v>
      </c>
      <c r="S231">
        <v>17.232647059000001</v>
      </c>
      <c r="AJ231">
        <v>142746.54624</v>
      </c>
      <c r="AK231">
        <v>137459.63712</v>
      </c>
      <c r="AL231">
        <v>125564.0916</v>
      </c>
      <c r="AM231">
        <v>102433.8642</v>
      </c>
      <c r="AN231">
        <v>95164.364159999997</v>
      </c>
      <c r="AO231">
        <v>97807.818719999996</v>
      </c>
      <c r="AP231">
        <v>111025.09152</v>
      </c>
      <c r="AQ231">
        <v>102433.8642</v>
      </c>
      <c r="AR231">
        <v>93181.773239999995</v>
      </c>
      <c r="AS231">
        <v>93842.636880000005</v>
      </c>
      <c r="AT231">
        <v>87234.000480000002</v>
      </c>
      <c r="AU231">
        <v>87234.000480000002</v>
      </c>
      <c r="AV231">
        <v>83268.818639999998</v>
      </c>
      <c r="AW231">
        <v>94503.500520000001</v>
      </c>
      <c r="AX231">
        <v>93181.773239999995</v>
      </c>
      <c r="AY231">
        <v>92520.909599999999</v>
      </c>
      <c r="AZ231">
        <v>77321.045880000005</v>
      </c>
    </row>
    <row r="232" spans="1:52" x14ac:dyDescent="0.35">
      <c r="A232" t="s">
        <v>259</v>
      </c>
      <c r="B232" t="s">
        <v>440</v>
      </c>
      <c r="C232">
        <v>93111.336739000006</v>
      </c>
      <c r="D232">
        <v>106754.55885</v>
      </c>
      <c r="E232">
        <v>111249.06104</v>
      </c>
      <c r="F232">
        <v>97589.993136000005</v>
      </c>
      <c r="G232">
        <v>109807.06522999999</v>
      </c>
      <c r="H232">
        <v>110984.84106000001</v>
      </c>
      <c r="I232">
        <v>102215.6918</v>
      </c>
      <c r="J232">
        <v>109136.12095</v>
      </c>
      <c r="K232">
        <v>99246.376917999994</v>
      </c>
      <c r="L232">
        <v>84709.494909000001</v>
      </c>
      <c r="M232">
        <v>91016.348045000006</v>
      </c>
      <c r="N232">
        <v>97788.118000000002</v>
      </c>
      <c r="O232">
        <v>180846.77567999999</v>
      </c>
      <c r="P232">
        <v>171287.06774</v>
      </c>
      <c r="Q232">
        <v>159356.30257999999</v>
      </c>
      <c r="R232">
        <v>138339.00180999999</v>
      </c>
      <c r="S232">
        <v>324619.23965</v>
      </c>
      <c r="AJ232">
        <v>23060131.872000001</v>
      </c>
      <c r="AK232">
        <v>19803674.761999998</v>
      </c>
      <c r="AL232">
        <v>17406957.787999999</v>
      </c>
      <c r="AM232">
        <v>18722345.026999999</v>
      </c>
      <c r="AN232">
        <v>18229074.811999999</v>
      </c>
      <c r="AO232">
        <v>18638765</v>
      </c>
      <c r="AP232">
        <v>19423096.432</v>
      </c>
      <c r="AQ232">
        <v>17745498.647</v>
      </c>
      <c r="AR232">
        <v>19076999.452</v>
      </c>
      <c r="AS232">
        <v>18728958.412999999</v>
      </c>
      <c r="AT232">
        <v>21382771.335999999</v>
      </c>
      <c r="AU232">
        <v>23873818.280999999</v>
      </c>
      <c r="AV232">
        <v>23265291.278999999</v>
      </c>
      <c r="AW232">
        <v>23895551.388</v>
      </c>
      <c r="AX232">
        <v>22724734.441</v>
      </c>
      <c r="AY232">
        <v>27595873.690000001</v>
      </c>
      <c r="AZ232">
        <v>36889079.604999997</v>
      </c>
    </row>
    <row r="233" spans="1:52" x14ac:dyDescent="0.35">
      <c r="A233" t="s">
        <v>262</v>
      </c>
      <c r="B233" t="s">
        <v>443</v>
      </c>
      <c r="C233">
        <v>6689.9048260999998</v>
      </c>
      <c r="D233">
        <v>9275.7631904999998</v>
      </c>
      <c r="E233">
        <v>9001.9624753999997</v>
      </c>
      <c r="F233">
        <v>5416.5182727000001</v>
      </c>
      <c r="G233">
        <v>5442.1851189999998</v>
      </c>
      <c r="H233">
        <v>8416.7709343999995</v>
      </c>
      <c r="I233">
        <v>7441.5947500000002</v>
      </c>
      <c r="J233">
        <v>7953.6622682999996</v>
      </c>
      <c r="K233">
        <v>7699.3501638999996</v>
      </c>
      <c r="L233">
        <v>6307.8966817999999</v>
      </c>
      <c r="M233">
        <v>8928.9329545000001</v>
      </c>
      <c r="N233">
        <v>10471.991105999999</v>
      </c>
      <c r="O233">
        <v>15778.149363</v>
      </c>
      <c r="P233">
        <v>16050.639905</v>
      </c>
      <c r="Q233">
        <v>19106.197660999998</v>
      </c>
      <c r="R233">
        <v>16332.071048</v>
      </c>
      <c r="S233">
        <v>8066.6495000000004</v>
      </c>
      <c r="AJ233">
        <v>5076792.6275000004</v>
      </c>
      <c r="AK233">
        <v>5803640.7432000004</v>
      </c>
      <c r="AL233">
        <v>5326416.7969000004</v>
      </c>
      <c r="AM233">
        <v>5521151.2045</v>
      </c>
      <c r="AN233">
        <v>5131519.9738999996</v>
      </c>
      <c r="AO233">
        <v>6077986.8309000004</v>
      </c>
      <c r="AP233">
        <v>5945051.9819999998</v>
      </c>
      <c r="AQ233">
        <v>6555000.3815000001</v>
      </c>
      <c r="AR233">
        <v>6256351.1497</v>
      </c>
      <c r="AS233">
        <v>5896662.4568999996</v>
      </c>
      <c r="AT233">
        <v>6908388.7430999996</v>
      </c>
      <c r="AU233">
        <v>7492484.2569000004</v>
      </c>
      <c r="AV233">
        <v>7489841.4676999999</v>
      </c>
      <c r="AW233">
        <v>6537329.1672</v>
      </c>
      <c r="AX233">
        <v>6476455.5383000001</v>
      </c>
      <c r="AY233">
        <v>6911252.3657</v>
      </c>
      <c r="AZ233">
        <v>6454754.7060000002</v>
      </c>
    </row>
    <row r="234" spans="1:52" x14ac:dyDescent="0.35">
      <c r="A234" t="s">
        <v>88</v>
      </c>
      <c r="B234" t="s">
        <v>42</v>
      </c>
      <c r="C234">
        <v>2155.3706522000002</v>
      </c>
      <c r="D234">
        <v>2086.025619</v>
      </c>
      <c r="E234">
        <v>2007.7996066000001</v>
      </c>
      <c r="F234">
        <v>1229.0710908999999</v>
      </c>
      <c r="G234">
        <v>1294.4874761999999</v>
      </c>
      <c r="H234">
        <v>1240.6680328</v>
      </c>
      <c r="I234">
        <v>1826.2827500000001</v>
      </c>
      <c r="J234">
        <v>1809.0616098</v>
      </c>
      <c r="K234">
        <v>2096.9639999999999</v>
      </c>
      <c r="L234">
        <v>1586.1056818</v>
      </c>
      <c r="M234">
        <v>2032.2898863999999</v>
      </c>
      <c r="N234">
        <v>2580.8843636000001</v>
      </c>
      <c r="O234">
        <v>3500.9174091</v>
      </c>
      <c r="P234">
        <v>4346.7618333</v>
      </c>
      <c r="Q234">
        <v>4084.2351128999999</v>
      </c>
      <c r="R234">
        <v>3033.7183332999998</v>
      </c>
      <c r="S234">
        <v>3629.3306471000001</v>
      </c>
      <c r="AJ234">
        <v>7967874.8158999998</v>
      </c>
      <c r="AK234">
        <v>7537391.4687999999</v>
      </c>
      <c r="AL234">
        <v>6548614.9512</v>
      </c>
      <c r="AM234">
        <v>6879612.9855000004</v>
      </c>
      <c r="AN234">
        <v>6993545.8871999998</v>
      </c>
      <c r="AO234">
        <v>6942902.8169</v>
      </c>
      <c r="AP234">
        <v>6793242.2298999997</v>
      </c>
      <c r="AQ234">
        <v>6330807.3186999997</v>
      </c>
      <c r="AR234">
        <v>5085786.3295</v>
      </c>
      <c r="AS234">
        <v>5152321.3345999997</v>
      </c>
      <c r="AT234">
        <v>5456520.1672999999</v>
      </c>
      <c r="AU234">
        <v>5192832.7712000003</v>
      </c>
      <c r="AV234">
        <v>6951335.5210999995</v>
      </c>
      <c r="AW234">
        <v>6568209.8398000002</v>
      </c>
      <c r="AX234">
        <v>7331136.1672999999</v>
      </c>
      <c r="AY234">
        <v>7719802.0565999998</v>
      </c>
      <c r="AZ234">
        <v>7301792.0745000001</v>
      </c>
    </row>
    <row r="235" spans="1:52" x14ac:dyDescent="0.35">
      <c r="A235" t="s">
        <v>263</v>
      </c>
      <c r="B235" t="s">
        <v>444</v>
      </c>
      <c r="C235">
        <v>89982.146391000002</v>
      </c>
      <c r="D235">
        <v>83610.593357000005</v>
      </c>
      <c r="E235">
        <v>79118.396311999997</v>
      </c>
      <c r="F235">
        <v>64962.578681999999</v>
      </c>
      <c r="G235">
        <v>66966.996832999997</v>
      </c>
      <c r="H235">
        <v>64303.627262000002</v>
      </c>
      <c r="I235">
        <v>85232.770499999999</v>
      </c>
      <c r="J235">
        <v>68176.157487999997</v>
      </c>
      <c r="K235">
        <v>70531.738622999997</v>
      </c>
      <c r="L235">
        <v>59365.444181999999</v>
      </c>
      <c r="M235">
        <v>59796.222091000003</v>
      </c>
      <c r="N235">
        <v>55384.883212000001</v>
      </c>
      <c r="O235">
        <v>83559.506773000001</v>
      </c>
      <c r="P235">
        <v>70179.839118999997</v>
      </c>
      <c r="Q235">
        <v>68610.691112999993</v>
      </c>
      <c r="R235">
        <v>93950.006095000004</v>
      </c>
      <c r="S235">
        <v>80782.847118000005</v>
      </c>
      <c r="AJ235">
        <v>7967874.8158999998</v>
      </c>
      <c r="AK235">
        <v>7537391.4687999999</v>
      </c>
      <c r="AL235">
        <v>6548614.9512</v>
      </c>
      <c r="AM235">
        <v>6879612.9855000004</v>
      </c>
      <c r="AN235">
        <v>6993545.8871999998</v>
      </c>
      <c r="AO235">
        <v>6942902.8169</v>
      </c>
      <c r="AP235">
        <v>6793242.2298999997</v>
      </c>
      <c r="AQ235">
        <v>6330807.3186999997</v>
      </c>
      <c r="AR235">
        <v>5085786.3295</v>
      </c>
      <c r="AS235">
        <v>5152321.3345999997</v>
      </c>
      <c r="AT235">
        <v>5456520.1672999999</v>
      </c>
      <c r="AU235">
        <v>5192832.7712000003</v>
      </c>
      <c r="AV235">
        <v>6951335.5210999995</v>
      </c>
      <c r="AW235">
        <v>6568209.8398000002</v>
      </c>
      <c r="AX235">
        <v>7331136.1672999999</v>
      </c>
      <c r="AY235">
        <v>7719802.0565999998</v>
      </c>
      <c r="AZ235">
        <v>7301792.0745000001</v>
      </c>
    </row>
    <row r="236" spans="1:52" x14ac:dyDescent="0.35">
      <c r="A236" t="s">
        <v>89</v>
      </c>
      <c r="B236" t="s">
        <v>43</v>
      </c>
      <c r="C236">
        <v>1357835.8770999999</v>
      </c>
      <c r="D236">
        <v>1320092.0560000001</v>
      </c>
      <c r="E236">
        <v>1329027.1412</v>
      </c>
      <c r="F236">
        <v>1843015.6217</v>
      </c>
      <c r="G236">
        <v>1748450.4084999999</v>
      </c>
      <c r="H236">
        <v>1589576.6784999999</v>
      </c>
      <c r="I236">
        <v>1350419.7208</v>
      </c>
      <c r="J236">
        <v>1097387.7971999999</v>
      </c>
      <c r="K236">
        <v>1106643.6995999999</v>
      </c>
      <c r="L236">
        <v>1375565.6871</v>
      </c>
      <c r="M236">
        <v>1242359.5341</v>
      </c>
      <c r="N236">
        <v>1129406.7504</v>
      </c>
      <c r="O236">
        <v>1262534.5844000001</v>
      </c>
      <c r="P236">
        <v>1354987.1216</v>
      </c>
      <c r="Q236">
        <v>1500666.5375999999</v>
      </c>
      <c r="R236">
        <v>2847424.0547000002</v>
      </c>
      <c r="S236">
        <v>1254406.7596</v>
      </c>
      <c r="AJ236">
        <v>264936561.08000001</v>
      </c>
      <c r="AK236">
        <v>250934113.13</v>
      </c>
      <c r="AL236">
        <v>232858676.65000001</v>
      </c>
      <c r="AM236">
        <v>234907662.25999999</v>
      </c>
      <c r="AN236">
        <v>235419908.66</v>
      </c>
      <c r="AO236">
        <v>242039826.68000001</v>
      </c>
      <c r="AP236">
        <v>225647711.43000001</v>
      </c>
      <c r="AQ236">
        <v>222403438.63</v>
      </c>
      <c r="AR236">
        <v>224748108.63</v>
      </c>
      <c r="AS236">
        <v>229827885.44999999</v>
      </c>
      <c r="AT236">
        <v>237170083.87</v>
      </c>
      <c r="AU236">
        <v>245796295.50999999</v>
      </c>
      <c r="AV236">
        <v>278580518.31999999</v>
      </c>
      <c r="AW236">
        <v>287715705.41000003</v>
      </c>
      <c r="AX236">
        <v>307181337.69999999</v>
      </c>
      <c r="AY236">
        <v>359943446.29000002</v>
      </c>
      <c r="AZ236">
        <v>303904021.19</v>
      </c>
    </row>
    <row r="237" spans="1:52" x14ac:dyDescent="0.35">
      <c r="A237" t="s">
        <v>90</v>
      </c>
      <c r="B237" t="s">
        <v>44</v>
      </c>
      <c r="C237">
        <v>73428.870913000006</v>
      </c>
      <c r="D237">
        <v>66371.671071000004</v>
      </c>
      <c r="E237">
        <v>65682.893131000004</v>
      </c>
      <c r="F237">
        <v>22927.062635999999</v>
      </c>
      <c r="G237">
        <v>31627.461213999999</v>
      </c>
      <c r="H237">
        <v>38938.902902000002</v>
      </c>
      <c r="I237">
        <v>57859.209199999998</v>
      </c>
      <c r="J237">
        <v>61530.441976000002</v>
      </c>
      <c r="K237">
        <v>67587.392393000002</v>
      </c>
      <c r="L237">
        <v>48568.605135999998</v>
      </c>
      <c r="M237">
        <v>51539.914499999999</v>
      </c>
      <c r="N237">
        <v>53206.983378999998</v>
      </c>
      <c r="O237">
        <v>43571.854272999997</v>
      </c>
      <c r="P237">
        <v>52784.382071</v>
      </c>
      <c r="Q237">
        <v>53603.553887000002</v>
      </c>
      <c r="R237">
        <v>70543.118761999998</v>
      </c>
      <c r="S237">
        <v>34091.664853000002</v>
      </c>
      <c r="AJ237">
        <v>6799694.6577000003</v>
      </c>
      <c r="AK237">
        <v>5969178.3891000003</v>
      </c>
      <c r="AL237">
        <v>5132534.3008000003</v>
      </c>
      <c r="AM237">
        <v>5262198.3251999998</v>
      </c>
      <c r="AN237">
        <v>4116832.7760000001</v>
      </c>
      <c r="AO237">
        <v>4690886.8114</v>
      </c>
      <c r="AP237">
        <v>5257212.5539999995</v>
      </c>
      <c r="AQ237">
        <v>5310639.5109000001</v>
      </c>
      <c r="AR237">
        <v>4456240.3035000004</v>
      </c>
      <c r="AS237">
        <v>4189718.7541999999</v>
      </c>
      <c r="AT237">
        <v>4616153.233</v>
      </c>
      <c r="AU237">
        <v>3677997.3796999999</v>
      </c>
      <c r="AV237">
        <v>3454119.2782999999</v>
      </c>
      <c r="AW237">
        <v>4083110.1345000002</v>
      </c>
      <c r="AX237">
        <v>3443458.4163000002</v>
      </c>
      <c r="AY237">
        <v>4253683.926</v>
      </c>
      <c r="AZ237">
        <v>3420873.4951999998</v>
      </c>
    </row>
    <row r="238" spans="1:52" x14ac:dyDescent="0.35">
      <c r="A238" t="s">
        <v>265</v>
      </c>
      <c r="B238" t="s">
        <v>446</v>
      </c>
      <c r="C238">
        <v>144498.57870000001</v>
      </c>
      <c r="D238">
        <v>175303.65948</v>
      </c>
      <c r="E238">
        <v>187959.48499999999</v>
      </c>
      <c r="F238">
        <v>194716.34190999999</v>
      </c>
      <c r="G238">
        <v>218028.31452000001</v>
      </c>
      <c r="H238">
        <v>205225.58775000001</v>
      </c>
      <c r="I238">
        <v>171057.25109999999</v>
      </c>
      <c r="J238">
        <v>184130.39111999999</v>
      </c>
      <c r="K238">
        <v>192828.77533</v>
      </c>
      <c r="L238">
        <v>227909.58194999999</v>
      </c>
      <c r="M238">
        <v>233824.70073000001</v>
      </c>
      <c r="N238">
        <v>227839.19164</v>
      </c>
      <c r="O238">
        <v>235563.2335</v>
      </c>
      <c r="P238">
        <v>234162.47180999999</v>
      </c>
      <c r="Q238">
        <v>249648.71844999999</v>
      </c>
      <c r="R238">
        <v>216835.84409999999</v>
      </c>
      <c r="S238">
        <v>285411.30679</v>
      </c>
      <c r="AJ238">
        <v>24864428.07</v>
      </c>
      <c r="AK238">
        <v>22992073.109999999</v>
      </c>
      <c r="AL238">
        <v>19882876.239999998</v>
      </c>
      <c r="AM238">
        <v>19793715.359999999</v>
      </c>
      <c r="AN238">
        <v>18968977.219999999</v>
      </c>
      <c r="AO238">
        <v>19816005.579999998</v>
      </c>
      <c r="AP238">
        <v>20952806.800000001</v>
      </c>
      <c r="AQ238">
        <v>22490831.98</v>
      </c>
      <c r="AR238">
        <v>24109572.719999999</v>
      </c>
      <c r="AS238">
        <v>24232012.84</v>
      </c>
      <c r="AT238">
        <v>26758731.68</v>
      </c>
      <c r="AU238">
        <v>27373243.739999998</v>
      </c>
      <c r="AV238">
        <v>26493826.800000001</v>
      </c>
      <c r="AW238">
        <v>29665323.221999999</v>
      </c>
      <c r="AX238">
        <v>30192701.420000002</v>
      </c>
      <c r="AY238">
        <v>34281172.240000002</v>
      </c>
      <c r="AZ238">
        <v>40252567.450000003</v>
      </c>
    </row>
    <row r="239" spans="1:52" x14ac:dyDescent="0.35">
      <c r="A239" t="s">
        <v>267</v>
      </c>
      <c r="B239" t="s">
        <v>448</v>
      </c>
      <c r="C239">
        <v>2090.3182609</v>
      </c>
      <c r="D239">
        <v>1639.0777381</v>
      </c>
      <c r="E239">
        <v>1668.6001802999999</v>
      </c>
      <c r="F239">
        <v>2576.5232273000001</v>
      </c>
      <c r="G239">
        <v>2158.2424523999998</v>
      </c>
      <c r="H239">
        <v>1806.3566229999999</v>
      </c>
      <c r="I239">
        <v>1142.0310500000001</v>
      </c>
      <c r="J239">
        <v>1386.082439</v>
      </c>
      <c r="K239">
        <v>1364.2548852</v>
      </c>
      <c r="L239">
        <v>760.02236363999998</v>
      </c>
      <c r="M239">
        <v>833.86820454999997</v>
      </c>
      <c r="N239">
        <v>770.53887879000001</v>
      </c>
      <c r="O239">
        <v>474.41777273000002</v>
      </c>
      <c r="P239">
        <v>652.18395238000005</v>
      </c>
      <c r="Q239">
        <v>690.11479032</v>
      </c>
      <c r="R239">
        <v>726.86352380999995</v>
      </c>
      <c r="S239">
        <v>705.94979411999998</v>
      </c>
      <c r="AJ239">
        <v>827854.46268999996</v>
      </c>
      <c r="AK239">
        <v>797805.29888999998</v>
      </c>
      <c r="AL239">
        <v>810049.89060000004</v>
      </c>
      <c r="AM239">
        <v>829551.09166999999</v>
      </c>
      <c r="AN239">
        <v>802549.42865000002</v>
      </c>
      <c r="AO239">
        <v>790631.41669999994</v>
      </c>
      <c r="AP239">
        <v>775713.84279999998</v>
      </c>
      <c r="AQ239">
        <v>689191.91417999996</v>
      </c>
      <c r="AR239">
        <v>735307.71782999998</v>
      </c>
      <c r="AS239">
        <v>747143.65694999998</v>
      </c>
      <c r="AT239">
        <v>753061.62650999997</v>
      </c>
      <c r="AU239">
        <v>744746.17734000005</v>
      </c>
      <c r="AV239">
        <v>710894.07837</v>
      </c>
      <c r="AW239">
        <v>697647.60485999996</v>
      </c>
      <c r="AX239">
        <v>675089.47719999996</v>
      </c>
      <c r="AY239">
        <v>675089.47719999996</v>
      </c>
      <c r="AZ239">
        <v>478339.36595000001</v>
      </c>
    </row>
    <row r="240" spans="1:52" x14ac:dyDescent="0.35">
      <c r="A240" t="s">
        <v>268</v>
      </c>
      <c r="B240" t="s">
        <v>449</v>
      </c>
      <c r="C240">
        <v>68807.693043000007</v>
      </c>
      <c r="D240">
        <v>84354.486713999999</v>
      </c>
      <c r="E240">
        <v>79507.500425999999</v>
      </c>
      <c r="F240">
        <v>58664.647227000001</v>
      </c>
      <c r="G240">
        <v>76849.455499999996</v>
      </c>
      <c r="H240">
        <v>87881.272639000003</v>
      </c>
      <c r="I240">
        <v>72827.966</v>
      </c>
      <c r="J240">
        <v>87329.709438999998</v>
      </c>
      <c r="K240">
        <v>83215.227197</v>
      </c>
      <c r="L240">
        <v>76312.802226999993</v>
      </c>
      <c r="M240">
        <v>79090.157636000004</v>
      </c>
      <c r="N240">
        <v>76221.176091000001</v>
      </c>
      <c r="O240">
        <v>81492.723908999993</v>
      </c>
      <c r="P240">
        <v>79994.710714000001</v>
      </c>
      <c r="Q240">
        <v>81076.869581000006</v>
      </c>
      <c r="R240">
        <v>166088.74048000001</v>
      </c>
      <c r="S240">
        <v>65281.957176000004</v>
      </c>
      <c r="AJ240">
        <v>6008345.2695000004</v>
      </c>
      <c r="AK240">
        <v>5388007.7055000002</v>
      </c>
      <c r="AL240">
        <v>4524966.1957</v>
      </c>
      <c r="AM240">
        <v>5173740.5697999997</v>
      </c>
      <c r="AN240">
        <v>4010177.8336999998</v>
      </c>
      <c r="AO240">
        <v>4675437.7780999998</v>
      </c>
      <c r="AP240">
        <v>5197281.5119000003</v>
      </c>
      <c r="AQ240">
        <v>6109332.7225000001</v>
      </c>
      <c r="AR240">
        <v>6355458.1585999997</v>
      </c>
      <c r="AS240">
        <v>5948690.0263999999</v>
      </c>
      <c r="AT240">
        <v>6818656.5520000001</v>
      </c>
      <c r="AU240">
        <v>6713651.0077999998</v>
      </c>
      <c r="AV240">
        <v>7334240.5968000004</v>
      </c>
      <c r="AW240">
        <v>8255722.1076999996</v>
      </c>
      <c r="AX240">
        <v>7813787.0974000003</v>
      </c>
      <c r="AY240">
        <v>6624323.7185000004</v>
      </c>
      <c r="AZ240">
        <v>4864944.2259</v>
      </c>
    </row>
    <row r="241" spans="1:52" x14ac:dyDescent="0.35">
      <c r="A241" t="s">
        <v>253</v>
      </c>
      <c r="B241" t="s">
        <v>434</v>
      </c>
      <c r="C241">
        <v>119718.06243000001</v>
      </c>
      <c r="D241">
        <v>118868.43330999999</v>
      </c>
      <c r="E241">
        <v>129821.97713</v>
      </c>
      <c r="F241">
        <v>95428.897681999995</v>
      </c>
      <c r="G241">
        <v>109273.42395</v>
      </c>
      <c r="H241">
        <v>112992.82878</v>
      </c>
      <c r="I241">
        <v>121378.3591</v>
      </c>
      <c r="J241">
        <v>167702.1691</v>
      </c>
      <c r="K241">
        <v>183685.78107999999</v>
      </c>
      <c r="L241">
        <v>196244.71531999999</v>
      </c>
      <c r="M241">
        <v>187644.78826999999</v>
      </c>
      <c r="N241">
        <v>164558.48420000001</v>
      </c>
      <c r="O241">
        <v>117967.00013</v>
      </c>
      <c r="P241">
        <v>134871.02171</v>
      </c>
      <c r="Q241">
        <v>128392.82833</v>
      </c>
      <c r="R241">
        <v>172689.86632999999</v>
      </c>
      <c r="S241">
        <v>180066.00571</v>
      </c>
      <c r="AJ241">
        <v>85940932.770999998</v>
      </c>
      <c r="AK241">
        <v>80847169.277999997</v>
      </c>
      <c r="AL241">
        <v>76079945.388999999</v>
      </c>
      <c r="AM241">
        <v>83871755.062000006</v>
      </c>
      <c r="AN241">
        <v>78633837.077000007</v>
      </c>
      <c r="AO241">
        <v>80726683.092999995</v>
      </c>
      <c r="AP241">
        <v>90041923.466000006</v>
      </c>
      <c r="AQ241">
        <v>92860796.204999998</v>
      </c>
      <c r="AR241">
        <v>99668019.901999995</v>
      </c>
      <c r="AS241">
        <v>100506921.98</v>
      </c>
      <c r="AT241">
        <v>109283128.31999999</v>
      </c>
      <c r="AU241">
        <v>109193145.69</v>
      </c>
      <c r="AV241">
        <v>102687067.45</v>
      </c>
      <c r="AW241">
        <v>113551897.62</v>
      </c>
      <c r="AX241">
        <v>105774570.25</v>
      </c>
      <c r="AY241">
        <v>119451765.43000001</v>
      </c>
      <c r="AZ241">
        <v>95037332.908999994</v>
      </c>
    </row>
    <row r="242" spans="1:52" x14ac:dyDescent="0.35">
      <c r="A242" t="s">
        <v>264</v>
      </c>
      <c r="B242" t="s">
        <v>445</v>
      </c>
      <c r="C242">
        <v>9812.0868695999998</v>
      </c>
      <c r="D242">
        <v>11684.593261</v>
      </c>
      <c r="E242">
        <v>11851.038295</v>
      </c>
      <c r="F242">
        <v>10962.860272</v>
      </c>
      <c r="G242">
        <v>9750.6346904999991</v>
      </c>
      <c r="H242">
        <v>11004.448802999999</v>
      </c>
      <c r="I242">
        <v>8883.6793500000003</v>
      </c>
      <c r="J242">
        <v>9136.2894390000001</v>
      </c>
      <c r="K242">
        <v>8693.3496066000007</v>
      </c>
      <c r="L242">
        <v>5318.0859545000003</v>
      </c>
      <c r="M242">
        <v>5756.9918636000002</v>
      </c>
      <c r="N242">
        <v>5297.1559242000003</v>
      </c>
      <c r="O242">
        <v>5580.7664999999997</v>
      </c>
      <c r="P242">
        <v>6568.6774524000002</v>
      </c>
      <c r="Q242">
        <v>6732.3338548000002</v>
      </c>
      <c r="R242">
        <v>5536.5237619</v>
      </c>
      <c r="S242">
        <v>3897.6035293999998</v>
      </c>
      <c r="AJ242">
        <v>1914385.5511</v>
      </c>
      <c r="AK242">
        <v>1961506.4302999999</v>
      </c>
      <c r="AL242">
        <v>1923211.2771000001</v>
      </c>
      <c r="AM242">
        <v>1859104.2345</v>
      </c>
      <c r="AN242">
        <v>2035596.4628000001</v>
      </c>
      <c r="AO242">
        <v>1839567.0639</v>
      </c>
      <c r="AP242">
        <v>1947360.3435</v>
      </c>
      <c r="AQ242">
        <v>2121245.8530000001</v>
      </c>
      <c r="AR242">
        <v>2018881.6809</v>
      </c>
      <c r="AS242">
        <v>1746123.7498000001</v>
      </c>
      <c r="AT242">
        <v>1632605.9981</v>
      </c>
      <c r="AU242">
        <v>1659567.4901999999</v>
      </c>
      <c r="AV242">
        <v>1738034.0382000001</v>
      </c>
      <c r="AW242">
        <v>1733649.8557</v>
      </c>
      <c r="AX242">
        <v>1679042.8230000001</v>
      </c>
      <c r="AY242">
        <v>1744164.5774000001</v>
      </c>
      <c r="AZ242">
        <v>1337174.1858999999</v>
      </c>
    </row>
    <row r="243" spans="1:52" x14ac:dyDescent="0.35">
      <c r="A243" t="s">
        <v>266</v>
      </c>
      <c r="B243" t="s">
        <v>447</v>
      </c>
      <c r="C243">
        <v>1562.4502609000001</v>
      </c>
      <c r="D243">
        <v>1524.3810951999999</v>
      </c>
      <c r="E243">
        <v>1303.8058361000001</v>
      </c>
      <c r="F243">
        <v>1016.7660909</v>
      </c>
      <c r="G243">
        <v>1551.6703333</v>
      </c>
      <c r="H243">
        <v>1831.6881311</v>
      </c>
      <c r="I243">
        <v>2551.3508999999999</v>
      </c>
      <c r="J243">
        <v>7316.6737561</v>
      </c>
      <c r="K243">
        <v>6155.996459</v>
      </c>
      <c r="L243">
        <v>3251.5381818000001</v>
      </c>
      <c r="M243">
        <v>3166.5761136000001</v>
      </c>
      <c r="N243">
        <v>3317.1114394000001</v>
      </c>
      <c r="O243">
        <v>5598.1895909000004</v>
      </c>
      <c r="P243">
        <v>6871.3642142999997</v>
      </c>
      <c r="Q243">
        <v>7234.3354839000003</v>
      </c>
      <c r="R243">
        <v>6878.3962856999997</v>
      </c>
      <c r="S243">
        <v>6610.7063823999997</v>
      </c>
      <c r="AJ243">
        <v>1187425.9878</v>
      </c>
      <c r="AK243">
        <v>945915.61739999999</v>
      </c>
      <c r="AL243">
        <v>823299.57247999997</v>
      </c>
      <c r="AM243">
        <v>769838.56128000002</v>
      </c>
      <c r="AN243">
        <v>756473.30848000001</v>
      </c>
      <c r="AO243">
        <v>895471.93759999995</v>
      </c>
      <c r="AP243">
        <v>1023778.3644</v>
      </c>
      <c r="AQ243">
        <v>1269699.0160000001</v>
      </c>
      <c r="AR243">
        <v>1276381.6424</v>
      </c>
      <c r="AS243">
        <v>1198863.1762000001</v>
      </c>
      <c r="AT243">
        <v>1403351.544</v>
      </c>
      <c r="AU243">
        <v>1603830.3359999999</v>
      </c>
      <c r="AV243">
        <v>1534331.0214</v>
      </c>
      <c r="AW243">
        <v>1810991.7544</v>
      </c>
      <c r="AX243">
        <v>1899202.4228999999</v>
      </c>
      <c r="AY243">
        <v>2211949.3383999998</v>
      </c>
      <c r="AZ243">
        <v>1927584.8317</v>
      </c>
    </row>
    <row r="244" spans="1:52" x14ac:dyDescent="0.35">
      <c r="A244" t="s">
        <v>270</v>
      </c>
      <c r="B244" t="s">
        <v>451</v>
      </c>
      <c r="C244">
        <v>7647.3027390999996</v>
      </c>
      <c r="D244">
        <v>10249.869618999999</v>
      </c>
      <c r="E244">
        <v>10803.376541</v>
      </c>
      <c r="F244">
        <v>14270.890545</v>
      </c>
      <c r="G244">
        <v>11669.242452</v>
      </c>
      <c r="H244">
        <v>11922.777244999999</v>
      </c>
      <c r="I244">
        <v>11677.311900000001</v>
      </c>
      <c r="J244">
        <v>15705.716073</v>
      </c>
      <c r="K244">
        <v>14250.885507999999</v>
      </c>
      <c r="L244">
        <v>10263.606771999999</v>
      </c>
      <c r="M244">
        <v>15851.06134</v>
      </c>
      <c r="N244">
        <v>18141.182014999999</v>
      </c>
      <c r="O244">
        <v>18853.901091</v>
      </c>
      <c r="P244">
        <v>25149.040643</v>
      </c>
      <c r="Q244">
        <v>23700.202499999999</v>
      </c>
      <c r="R244">
        <v>29444.875856999999</v>
      </c>
      <c r="S244">
        <v>14384.046410999999</v>
      </c>
      <c r="AJ244">
        <v>4469524</v>
      </c>
      <c r="AK244">
        <v>4450470</v>
      </c>
      <c r="AL244">
        <v>4217155.97</v>
      </c>
      <c r="AM244">
        <v>4643487.9000000004</v>
      </c>
      <c r="AN244">
        <v>4287758.71</v>
      </c>
      <c r="AO244">
        <v>4292338.5999999996</v>
      </c>
      <c r="AP244">
        <v>4564005.5999999996</v>
      </c>
      <c r="AQ244">
        <v>5514840.0999999996</v>
      </c>
      <c r="AR244">
        <v>5729457.0300000003</v>
      </c>
      <c r="AS244">
        <v>5025839.5</v>
      </c>
      <c r="AT244">
        <v>5873440.54</v>
      </c>
      <c r="AU244">
        <v>5346406.5599999996</v>
      </c>
      <c r="AV244">
        <v>6275507.7000000002</v>
      </c>
      <c r="AW244">
        <v>5620934.4000000004</v>
      </c>
      <c r="AX244">
        <v>6268291.6500000004</v>
      </c>
      <c r="AY244">
        <v>5633646.6600000001</v>
      </c>
      <c r="AZ244">
        <v>4253090.0199999996</v>
      </c>
    </row>
    <row r="245" spans="1:52" x14ac:dyDescent="0.35">
      <c r="A245" t="s">
        <v>269</v>
      </c>
      <c r="B245" t="s">
        <v>450</v>
      </c>
      <c r="C245">
        <v>4532.3823043000002</v>
      </c>
      <c r="D245">
        <v>6191.1192142999998</v>
      </c>
      <c r="E245">
        <v>5470.1873933999996</v>
      </c>
      <c r="F245">
        <v>4684.7575454999997</v>
      </c>
      <c r="G245">
        <v>3738.1495713999998</v>
      </c>
      <c r="H245">
        <v>3237.8454262</v>
      </c>
      <c r="I245">
        <v>2172.5059500000002</v>
      </c>
      <c r="J245">
        <v>2068.9843171000002</v>
      </c>
      <c r="K245">
        <v>1710.6139016</v>
      </c>
      <c r="L245">
        <v>599.40068182000005</v>
      </c>
      <c r="M245">
        <v>996.09243182</v>
      </c>
      <c r="N245">
        <v>1253.8037575999999</v>
      </c>
      <c r="O245">
        <v>1202.4375454999999</v>
      </c>
      <c r="P245">
        <v>2097.6294524</v>
      </c>
      <c r="Q245">
        <v>2144.6379032</v>
      </c>
      <c r="R245">
        <v>2382.2090951999999</v>
      </c>
      <c r="S245">
        <v>994.01705881999999</v>
      </c>
      <c r="AJ245">
        <v>653723.19756</v>
      </c>
      <c r="AK245">
        <v>625300.44984000002</v>
      </c>
      <c r="AL245">
        <v>647407.03139999998</v>
      </c>
      <c r="AM245">
        <v>495819.04356000002</v>
      </c>
      <c r="AN245">
        <v>420025.04963999998</v>
      </c>
      <c r="AO245">
        <v>435815.46503999998</v>
      </c>
      <c r="AP245">
        <v>363179.55420000001</v>
      </c>
      <c r="AQ245">
        <v>432657.38196000003</v>
      </c>
      <c r="AR245">
        <v>369495.72035999998</v>
      </c>
      <c r="AS245">
        <v>341072.97263999999</v>
      </c>
      <c r="AT245">
        <v>281069.39412000001</v>
      </c>
      <c r="AU245">
        <v>407392.71732</v>
      </c>
      <c r="AV245">
        <v>454763.96351999999</v>
      </c>
      <c r="AW245">
        <v>536874.12360000005</v>
      </c>
      <c r="AX245">
        <v>448447.79736000003</v>
      </c>
      <c r="AY245">
        <v>457922.0466</v>
      </c>
      <c r="AZ245">
        <v>206605.18912</v>
      </c>
    </row>
    <row r="246" spans="1:52" x14ac:dyDescent="0.35">
      <c r="A246" t="s">
        <v>271</v>
      </c>
      <c r="B246" t="s">
        <v>452</v>
      </c>
      <c r="C246">
        <v>337703.48904000001</v>
      </c>
      <c r="D246">
        <v>340146.00728999998</v>
      </c>
      <c r="E246">
        <v>355166.34905000002</v>
      </c>
      <c r="F246">
        <v>337142.83536000003</v>
      </c>
      <c r="G246">
        <v>371033.71030999999</v>
      </c>
      <c r="H246">
        <v>356093.22897</v>
      </c>
      <c r="I246">
        <v>398342.87105000002</v>
      </c>
      <c r="J246">
        <v>379937.68732000003</v>
      </c>
      <c r="K246">
        <v>352940.92197000002</v>
      </c>
      <c r="L246">
        <v>486295.19877000002</v>
      </c>
      <c r="M246">
        <v>411912.44676999998</v>
      </c>
      <c r="N246">
        <v>362912.02356</v>
      </c>
      <c r="O246">
        <v>449794.72194999998</v>
      </c>
      <c r="P246">
        <v>420772.39376000001</v>
      </c>
      <c r="Q246">
        <v>413664.85768000002</v>
      </c>
      <c r="R246">
        <v>376828.02824000001</v>
      </c>
      <c r="S246">
        <v>346049.44209000003</v>
      </c>
      <c r="AJ246">
        <v>227019066.22999999</v>
      </c>
      <c r="AK246">
        <v>226305829.47</v>
      </c>
      <c r="AL246">
        <v>221398507.44</v>
      </c>
      <c r="AM246">
        <v>235831156.02000001</v>
      </c>
      <c r="AN246">
        <v>203147919.84</v>
      </c>
      <c r="AO246">
        <v>189980054.74000001</v>
      </c>
      <c r="AP246">
        <v>187294824.28</v>
      </c>
      <c r="AQ246">
        <v>177686734.06</v>
      </c>
      <c r="AR246">
        <v>179491873.72</v>
      </c>
      <c r="AS246">
        <v>154611396.59999999</v>
      </c>
      <c r="AT246">
        <v>158009910.34</v>
      </c>
      <c r="AU246">
        <v>153520515.65000001</v>
      </c>
      <c r="AV246">
        <v>176638800.46000001</v>
      </c>
      <c r="AW246">
        <v>185659546.81</v>
      </c>
      <c r="AX246">
        <v>203533211.65000001</v>
      </c>
      <c r="AY246">
        <v>217001395.72</v>
      </c>
      <c r="AZ246">
        <v>201357866.87</v>
      </c>
    </row>
    <row r="247" spans="1:52" x14ac:dyDescent="0.35">
      <c r="A247" t="s">
        <v>273</v>
      </c>
      <c r="B247" t="s">
        <v>454</v>
      </c>
      <c r="C247">
        <v>1981.7028261</v>
      </c>
      <c r="D247">
        <v>2604.1345000000001</v>
      </c>
      <c r="E247">
        <v>2709.2415738</v>
      </c>
      <c r="F247">
        <v>2999.2424544999999</v>
      </c>
      <c r="G247">
        <v>2507.3152381</v>
      </c>
      <c r="H247">
        <v>2555.7474097999998</v>
      </c>
      <c r="I247">
        <v>2007.90075</v>
      </c>
      <c r="J247">
        <v>2806.1939511999999</v>
      </c>
      <c r="K247">
        <v>3030.2124262000002</v>
      </c>
      <c r="L247">
        <v>2570.0991818000002</v>
      </c>
      <c r="M247">
        <v>2931.5993864000002</v>
      </c>
      <c r="N247">
        <v>3125.9213181999999</v>
      </c>
      <c r="O247">
        <v>2720.2655909</v>
      </c>
      <c r="P247">
        <v>3068.9120238</v>
      </c>
      <c r="Q247">
        <v>3234.0932419000001</v>
      </c>
      <c r="R247">
        <v>4783.3554285999999</v>
      </c>
      <c r="S247">
        <v>2341.4158529000001</v>
      </c>
      <c r="AJ247">
        <v>929061.30842000002</v>
      </c>
      <c r="AK247">
        <v>930660.38124000002</v>
      </c>
      <c r="AL247">
        <v>890683.56073999999</v>
      </c>
      <c r="AM247">
        <v>962641.83764000004</v>
      </c>
      <c r="AN247">
        <v>964240.91046000004</v>
      </c>
      <c r="AO247">
        <v>962641.83764000004</v>
      </c>
      <c r="AP247">
        <v>954646.47354000004</v>
      </c>
      <c r="AQ247">
        <v>1149733.3576</v>
      </c>
      <c r="AR247">
        <v>1247276.7996</v>
      </c>
      <c r="AS247">
        <v>1164125.013</v>
      </c>
      <c r="AT247">
        <v>1343221.1688000001</v>
      </c>
      <c r="AU247">
        <v>1395990.5719000001</v>
      </c>
      <c r="AV247">
        <v>1328829.5134000001</v>
      </c>
      <c r="AW247">
        <v>1340023.0231999999</v>
      </c>
      <c r="AX247">
        <v>1426372.9554000001</v>
      </c>
      <c r="AY247">
        <v>1589478.3831</v>
      </c>
      <c r="AZ247">
        <v>1202502.7605999999</v>
      </c>
    </row>
    <row r="248" spans="1:52" x14ac:dyDescent="0.35">
      <c r="A248" t="s">
        <v>274</v>
      </c>
      <c r="B248" t="s">
        <v>455</v>
      </c>
      <c r="C248">
        <v>16.818391303999999</v>
      </c>
      <c r="D248">
        <v>24.422452380999999</v>
      </c>
      <c r="E248">
        <v>33.908688525000002</v>
      </c>
      <c r="F248">
        <v>19.493681817999999</v>
      </c>
      <c r="G248">
        <v>19.167404762</v>
      </c>
      <c r="H248">
        <v>26.241524590000001</v>
      </c>
      <c r="I248">
        <v>42.808300000000003</v>
      </c>
      <c r="J248">
        <v>28.751146340999998</v>
      </c>
      <c r="K248">
        <v>31.750737704999999</v>
      </c>
      <c r="L248">
        <v>38.261772727</v>
      </c>
      <c r="M248">
        <v>34.062068181999997</v>
      </c>
      <c r="N248">
        <v>39.637893939000001</v>
      </c>
      <c r="O248">
        <v>41.158999999999999</v>
      </c>
      <c r="P248">
        <v>39.104119048000001</v>
      </c>
      <c r="Q248">
        <v>34.585677419</v>
      </c>
      <c r="R248">
        <v>34.798380952000002</v>
      </c>
      <c r="S248">
        <v>31.787441176000002</v>
      </c>
      <c r="AJ248">
        <v>1062569.8899999999</v>
      </c>
      <c r="AK248">
        <v>1035979.667</v>
      </c>
      <c r="AL248">
        <v>1007098.317</v>
      </c>
      <c r="AM248">
        <v>998578.23770000006</v>
      </c>
      <c r="AN248">
        <v>1042131.1365</v>
      </c>
      <c r="AO248">
        <v>1124849.1562999999</v>
      </c>
      <c r="AP248">
        <v>1087683.6507000001</v>
      </c>
      <c r="AQ248">
        <v>1002922.7897</v>
      </c>
      <c r="AR248">
        <v>888016.61</v>
      </c>
      <c r="AS248">
        <v>831288.66249999998</v>
      </c>
      <c r="AT248">
        <v>811305.92050000001</v>
      </c>
      <c r="AU248">
        <v>783595.94830000005</v>
      </c>
      <c r="AV248">
        <v>711600.58250000002</v>
      </c>
      <c r="AW248">
        <v>761237.40549999999</v>
      </c>
      <c r="AX248">
        <v>734921.88800000004</v>
      </c>
      <c r="AY248">
        <v>763367.66749999998</v>
      </c>
      <c r="AZ248">
        <v>639755.0122</v>
      </c>
    </row>
    <row r="249" spans="1:52" x14ac:dyDescent="0.35">
      <c r="A249" t="s">
        <v>91</v>
      </c>
      <c r="B249" t="s">
        <v>45</v>
      </c>
      <c r="C249">
        <v>50127.545042999998</v>
      </c>
      <c r="D249">
        <v>49284.318071000002</v>
      </c>
      <c r="E249">
        <v>47251.009278999998</v>
      </c>
      <c r="F249">
        <v>46553.699409000001</v>
      </c>
      <c r="G249">
        <v>49980.361190000003</v>
      </c>
      <c r="H249">
        <v>54084.164295000002</v>
      </c>
      <c r="I249">
        <v>73742.257800000007</v>
      </c>
      <c r="J249">
        <v>74249.464072999996</v>
      </c>
      <c r="K249">
        <v>68487.237443000005</v>
      </c>
      <c r="L249">
        <v>55656.234408999997</v>
      </c>
      <c r="M249">
        <v>51608.955295</v>
      </c>
      <c r="N249">
        <v>50090.247757999998</v>
      </c>
      <c r="O249">
        <v>47208.970635999998</v>
      </c>
      <c r="P249">
        <v>48695.821381000002</v>
      </c>
      <c r="Q249">
        <v>45163.669387000002</v>
      </c>
      <c r="R249">
        <v>53995.112905000002</v>
      </c>
      <c r="S249">
        <v>29210.3685</v>
      </c>
      <c r="AJ249">
        <v>3022481.31</v>
      </c>
      <c r="AK249">
        <v>2635056.75</v>
      </c>
      <c r="AL249">
        <v>2374488.9</v>
      </c>
      <c r="AM249">
        <v>2877158.48</v>
      </c>
      <c r="AN249">
        <v>2888267.2</v>
      </c>
      <c r="AO249">
        <v>3024553.22</v>
      </c>
      <c r="AP249">
        <v>3745308.97</v>
      </c>
      <c r="AQ249">
        <v>4154174.05</v>
      </c>
      <c r="AR249">
        <v>4334478.95</v>
      </c>
      <c r="AS249">
        <v>3464428.9</v>
      </c>
      <c r="AT249">
        <v>3456543.25</v>
      </c>
      <c r="AU249">
        <v>3404006.56</v>
      </c>
      <c r="AV249">
        <v>3743880.28</v>
      </c>
      <c r="AW249">
        <v>3585799.48</v>
      </c>
      <c r="AX249">
        <v>3207452.18</v>
      </c>
      <c r="AY249">
        <v>3866337.18</v>
      </c>
      <c r="AZ249">
        <v>1862566.68</v>
      </c>
    </row>
    <row r="250" spans="1:52" x14ac:dyDescent="0.35">
      <c r="A250" t="s">
        <v>275</v>
      </c>
      <c r="B250" t="s">
        <v>456</v>
      </c>
      <c r="C250">
        <v>1111.9369565</v>
      </c>
      <c r="D250">
        <v>1695.0987619</v>
      </c>
      <c r="E250">
        <v>1794.5586721</v>
      </c>
      <c r="F250">
        <v>1940.0341817999999</v>
      </c>
      <c r="G250">
        <v>1953.2296429</v>
      </c>
      <c r="H250">
        <v>2429.1093279000002</v>
      </c>
      <c r="I250">
        <v>2092.7858000000001</v>
      </c>
      <c r="J250">
        <v>3484.1190732</v>
      </c>
      <c r="K250">
        <v>3133.6212458999998</v>
      </c>
      <c r="L250">
        <v>1411.2742272999999</v>
      </c>
      <c r="M250">
        <v>2004.6536818</v>
      </c>
      <c r="N250">
        <v>1970.9462879</v>
      </c>
      <c r="O250">
        <v>3153.0191817999998</v>
      </c>
      <c r="P250">
        <v>1822.5911905</v>
      </c>
      <c r="Q250">
        <v>1240.1911935000001</v>
      </c>
      <c r="R250">
        <v>0</v>
      </c>
      <c r="S250">
        <v>0</v>
      </c>
      <c r="AJ250">
        <v>958997.69039999996</v>
      </c>
      <c r="AK250">
        <v>1194751.2893000001</v>
      </c>
      <c r="AL250">
        <v>901539.66682000004</v>
      </c>
      <c r="AM250">
        <v>1224657.8659999999</v>
      </c>
      <c r="AN250">
        <v>1061104.2095999999</v>
      </c>
      <c r="AO250">
        <v>1180783.6758000001</v>
      </c>
      <c r="AP250">
        <v>1252588.0885999999</v>
      </c>
      <c r="AQ250">
        <v>1368272.9757000001</v>
      </c>
      <c r="AR250">
        <v>1360331.6686</v>
      </c>
      <c r="AS250">
        <v>1380277.8807999999</v>
      </c>
      <c r="AT250">
        <v>1396234.8504999999</v>
      </c>
      <c r="AU250">
        <v>1404213.3354</v>
      </c>
      <c r="AV250">
        <v>1364320.9110999999</v>
      </c>
      <c r="AW250">
        <v>1396234.8504999999</v>
      </c>
      <c r="AX250">
        <v>1396234.8504999999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R251"/>
  <sheetViews>
    <sheetView workbookViewId="0">
      <selection activeCell="M1" sqref="M1:Q1"/>
    </sheetView>
  </sheetViews>
  <sheetFormatPr defaultRowHeight="14.5" x14ac:dyDescent="0.35"/>
  <cols>
    <col min="2" max="4" width="11.90625" bestFit="1" customWidth="1"/>
    <col min="5" max="8" width="11.1796875" bestFit="1" customWidth="1"/>
    <col min="9" max="17" width="10.08984375" bestFit="1" customWidth="1"/>
  </cols>
  <sheetData>
    <row r="1" spans="1:18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s="2">
        <v>45899</v>
      </c>
      <c r="M1" s="2" t="s">
        <v>501</v>
      </c>
      <c r="N1" s="2">
        <v>45960</v>
      </c>
      <c r="O1" s="2" t="s">
        <v>502</v>
      </c>
      <c r="P1" s="2">
        <v>46022</v>
      </c>
      <c r="Q1" s="2">
        <v>46053</v>
      </c>
      <c r="R1" t="s">
        <v>485</v>
      </c>
    </row>
    <row r="2" spans="1:18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10607.934149999999</v>
      </c>
      <c r="I2">
        <v>10775.583707</v>
      </c>
      <c r="J2">
        <v>11990.950032000001</v>
      </c>
      <c r="K2">
        <v>13481.076272</v>
      </c>
      <c r="L2">
        <v>10790.173363</v>
      </c>
      <c r="M2">
        <v>9881.5950909000003</v>
      </c>
      <c r="N2">
        <v>7057.1580000000004</v>
      </c>
      <c r="O2">
        <v>8435.4164762</v>
      </c>
      <c r="P2">
        <v>10271.740435</v>
      </c>
      <c r="Q2">
        <v>17518.616619</v>
      </c>
      <c r="R2">
        <v>11226.372588</v>
      </c>
    </row>
    <row r="3" spans="1:18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550312.27324999997</v>
      </c>
      <c r="I3">
        <v>431094.96140999999</v>
      </c>
      <c r="J3">
        <v>411569.36966000003</v>
      </c>
      <c r="K3">
        <v>357256.20831999998</v>
      </c>
      <c r="L3">
        <v>367046.20327</v>
      </c>
      <c r="M3">
        <v>369421.76290999999</v>
      </c>
      <c r="N3">
        <v>337804.48395000002</v>
      </c>
      <c r="O3">
        <v>380572.20533000003</v>
      </c>
      <c r="P3">
        <v>405125.60794999998</v>
      </c>
      <c r="Q3">
        <v>394394.00910000002</v>
      </c>
      <c r="R3">
        <v>439471.63753000001</v>
      </c>
    </row>
    <row r="4" spans="1:18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1642.2337</v>
      </c>
      <c r="I4">
        <v>1806.7740976</v>
      </c>
      <c r="J4">
        <v>1461.0053934</v>
      </c>
      <c r="K4">
        <v>466.46954545</v>
      </c>
      <c r="L4">
        <v>501.46111364000001</v>
      </c>
      <c r="M4">
        <v>445.97142423999998</v>
      </c>
      <c r="N4">
        <v>265.26963635999999</v>
      </c>
      <c r="O4">
        <v>251.61464286</v>
      </c>
      <c r="P4">
        <v>294.73266129000001</v>
      </c>
      <c r="Q4">
        <v>160.94919048</v>
      </c>
      <c r="R4">
        <v>72.219411765000004</v>
      </c>
    </row>
    <row r="5" spans="1:18" x14ac:dyDescent="0.35">
      <c r="A5" t="s">
        <v>459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5">
      <c r="A6" t="s">
        <v>112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4822.7756499999996</v>
      </c>
      <c r="I6">
        <v>4151.7481706999997</v>
      </c>
      <c r="J6">
        <v>4005.2664098</v>
      </c>
      <c r="K6">
        <v>2839.3041818000002</v>
      </c>
      <c r="L6">
        <v>2628.2284545000002</v>
      </c>
      <c r="M6">
        <v>2915.9730152000002</v>
      </c>
      <c r="N6">
        <v>3193.9876364000002</v>
      </c>
      <c r="O6">
        <v>3326.9420237999998</v>
      </c>
      <c r="P6">
        <v>3398.0204032000001</v>
      </c>
      <c r="Q6">
        <v>3549.2719999999999</v>
      </c>
      <c r="R6">
        <v>1857.6004118000001</v>
      </c>
    </row>
    <row r="7" spans="1:18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82815.759399999995</v>
      </c>
      <c r="I7">
        <v>78749.847999999998</v>
      </c>
      <c r="J7">
        <v>80904.180901999993</v>
      </c>
      <c r="K7">
        <v>88472.095318000007</v>
      </c>
      <c r="L7">
        <v>92769.98</v>
      </c>
      <c r="M7">
        <v>86220.064606</v>
      </c>
      <c r="N7">
        <v>68279.959317999994</v>
      </c>
      <c r="O7">
        <v>97397.334929000004</v>
      </c>
      <c r="P7">
        <v>135011.26415</v>
      </c>
      <c r="Q7">
        <v>150336.87742999999</v>
      </c>
      <c r="R7">
        <v>101480.36311000001</v>
      </c>
    </row>
    <row r="8" spans="1:18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13757.179599999999</v>
      </c>
      <c r="I8">
        <v>20519.208901999998</v>
      </c>
      <c r="J8">
        <v>19865.590164000001</v>
      </c>
      <c r="K8">
        <v>9145.1390455000001</v>
      </c>
      <c r="L8">
        <v>13894.730522</v>
      </c>
      <c r="M8">
        <v>14383.275212</v>
      </c>
      <c r="N8">
        <v>21281.581226999999</v>
      </c>
      <c r="O8">
        <v>22224.313071</v>
      </c>
      <c r="P8">
        <v>24177.307581000001</v>
      </c>
      <c r="Q8">
        <v>40399.945286000002</v>
      </c>
      <c r="R8">
        <v>17281.419824000001</v>
      </c>
    </row>
    <row r="9" spans="1:18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32825.828500000003</v>
      </c>
      <c r="I9">
        <v>30072.750854000002</v>
      </c>
      <c r="J9">
        <v>33414.925967000003</v>
      </c>
      <c r="K9">
        <v>30020.730135999998</v>
      </c>
      <c r="L9">
        <v>32244.913908999999</v>
      </c>
      <c r="M9">
        <v>27923.743833</v>
      </c>
      <c r="N9">
        <v>20998.917863999999</v>
      </c>
      <c r="O9">
        <v>23793.491023999999</v>
      </c>
      <c r="P9">
        <v>23588.103773999999</v>
      </c>
      <c r="Q9">
        <v>29145.671237999999</v>
      </c>
      <c r="R9">
        <v>27255.433000000001</v>
      </c>
    </row>
    <row r="10" spans="1:18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11257.551149999999</v>
      </c>
      <c r="I10">
        <v>13688.897561</v>
      </c>
      <c r="J10">
        <v>22413.690328000001</v>
      </c>
      <c r="K10">
        <v>9353.8117727000008</v>
      </c>
      <c r="L10">
        <v>8542.7018181999993</v>
      </c>
      <c r="M10">
        <v>10603.49403</v>
      </c>
      <c r="N10">
        <v>40924.730409000003</v>
      </c>
      <c r="O10">
        <v>26156.017309999999</v>
      </c>
      <c r="P10">
        <v>19468.314322999999</v>
      </c>
      <c r="Q10">
        <v>4481.6320951999996</v>
      </c>
      <c r="R10">
        <v>766.83014705999994</v>
      </c>
    </row>
    <row r="11" spans="1:18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23081.48215</v>
      </c>
      <c r="I11">
        <v>16828.241389999999</v>
      </c>
      <c r="J11">
        <v>16984.921541</v>
      </c>
      <c r="K11">
        <v>7556.0267272999999</v>
      </c>
      <c r="L11">
        <v>9293.1617499999993</v>
      </c>
      <c r="M11">
        <v>13200.686014999999</v>
      </c>
      <c r="N11">
        <v>9916.6175000000003</v>
      </c>
      <c r="O11">
        <v>10537.422356999999</v>
      </c>
      <c r="P11">
        <v>11861.870580000001</v>
      </c>
      <c r="Q11">
        <v>11870.920808999999</v>
      </c>
      <c r="R11">
        <v>6875.2533824000002</v>
      </c>
    </row>
    <row r="12" spans="1:18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2600.3613</v>
      </c>
      <c r="I12">
        <v>2367.2218779999998</v>
      </c>
      <c r="J12">
        <v>2413.3698033000001</v>
      </c>
      <c r="K12">
        <v>732.39186364</v>
      </c>
      <c r="L12">
        <v>836.68336364000004</v>
      </c>
      <c r="M12">
        <v>747.90766667000003</v>
      </c>
      <c r="N12">
        <v>644.20390909000002</v>
      </c>
      <c r="O12">
        <v>631.88952381000001</v>
      </c>
      <c r="P12">
        <v>681.11535484000001</v>
      </c>
      <c r="Q12">
        <v>555.99652380999999</v>
      </c>
      <c r="R12">
        <v>272.24405882000002</v>
      </c>
    </row>
    <row r="13" spans="1:18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33029.55775</v>
      </c>
      <c r="I13">
        <v>34112.977853999997</v>
      </c>
      <c r="J13">
        <v>31277.377131000001</v>
      </c>
      <c r="K13">
        <v>21751.244545000001</v>
      </c>
      <c r="L13">
        <v>23152.289205000001</v>
      </c>
      <c r="M13">
        <v>21648.909667</v>
      </c>
      <c r="N13">
        <v>18363.048545000001</v>
      </c>
      <c r="O13">
        <v>22925.412737999999</v>
      </c>
      <c r="P13">
        <v>23359.015726000001</v>
      </c>
      <c r="Q13">
        <v>48528.912237999997</v>
      </c>
      <c r="R13">
        <v>26958.414264999999</v>
      </c>
    </row>
    <row r="14" spans="1:18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6555.9135999999999</v>
      </c>
      <c r="I14">
        <v>5009.5276585000001</v>
      </c>
      <c r="J14">
        <v>5734.7563278999996</v>
      </c>
      <c r="K14">
        <v>9503.1693636</v>
      </c>
      <c r="L14">
        <v>6746.4220908999996</v>
      </c>
      <c r="M14">
        <v>6454.5182273</v>
      </c>
      <c r="N14">
        <v>3635.7489544999999</v>
      </c>
      <c r="O14">
        <v>4994.311119</v>
      </c>
      <c r="P14">
        <v>4658.3106613</v>
      </c>
      <c r="Q14">
        <v>2936.7499048</v>
      </c>
      <c r="R14">
        <v>3003.2649999999999</v>
      </c>
    </row>
    <row r="15" spans="1:18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114951.976</v>
      </c>
      <c r="I15">
        <v>133944.59554000001</v>
      </c>
      <c r="J15">
        <v>132668.35128</v>
      </c>
      <c r="K15">
        <v>130069.86595000001</v>
      </c>
      <c r="L15">
        <v>150655.76352000001</v>
      </c>
      <c r="M15">
        <v>160299.88623999999</v>
      </c>
      <c r="N15">
        <v>171160.83209000001</v>
      </c>
      <c r="O15">
        <v>157286.67293</v>
      </c>
      <c r="P15">
        <v>147946.49384000001</v>
      </c>
      <c r="Q15">
        <v>159090.09899999999</v>
      </c>
      <c r="R15">
        <v>72435.621853000004</v>
      </c>
    </row>
    <row r="16" spans="1:18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44814.18795</v>
      </c>
      <c r="I16">
        <v>45709.943756000001</v>
      </c>
      <c r="J16">
        <v>43899.031148000002</v>
      </c>
      <c r="K16">
        <v>33997.601590999999</v>
      </c>
      <c r="L16">
        <v>42007.883455000003</v>
      </c>
      <c r="M16">
        <v>41834.862999999998</v>
      </c>
      <c r="N16">
        <v>63881.544954999998</v>
      </c>
      <c r="O16">
        <v>67708.390857000006</v>
      </c>
      <c r="P16">
        <v>60783.257097000002</v>
      </c>
      <c r="Q16">
        <v>49943.626904999997</v>
      </c>
      <c r="R16">
        <v>35920.962205999997</v>
      </c>
    </row>
    <row r="17" spans="1:18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26.179549999999999</v>
      </c>
      <c r="I17">
        <v>32.944195122000004</v>
      </c>
      <c r="J17">
        <v>32.523590163999998</v>
      </c>
      <c r="K17">
        <v>9.6231818182000008</v>
      </c>
      <c r="L17">
        <v>16.646681818000001</v>
      </c>
      <c r="M17">
        <v>18.357409091000001</v>
      </c>
      <c r="N17">
        <v>26.684318181999998</v>
      </c>
      <c r="O17">
        <v>29.541166666999999</v>
      </c>
      <c r="P17">
        <v>26.907419354999998</v>
      </c>
      <c r="Q17">
        <v>13.158952381000001</v>
      </c>
      <c r="R17">
        <v>2.1843823529000002</v>
      </c>
    </row>
    <row r="18" spans="1:18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3784.2373499999999</v>
      </c>
      <c r="I18">
        <v>3890.3874390000001</v>
      </c>
      <c r="J18">
        <v>3022.1162951000001</v>
      </c>
      <c r="K18">
        <v>2181.9744090999998</v>
      </c>
      <c r="L18">
        <v>1535.1056136</v>
      </c>
      <c r="M18">
        <v>1473.1680606</v>
      </c>
      <c r="N18">
        <v>1686.3396364</v>
      </c>
      <c r="O18">
        <v>2306.0023095000001</v>
      </c>
      <c r="P18">
        <v>2267.8152258</v>
      </c>
      <c r="Q18">
        <v>2679.538</v>
      </c>
      <c r="R18">
        <v>5766.8834705999998</v>
      </c>
    </row>
    <row r="19" spans="1:18" x14ac:dyDescent="0.35">
      <c r="A19" t="s">
        <v>492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154542.20319999999</v>
      </c>
      <c r="I19">
        <v>134306.83306999999</v>
      </c>
      <c r="J19">
        <v>99549.615655999994</v>
      </c>
      <c r="K19">
        <v>15380.897681</v>
      </c>
      <c r="L19">
        <v>13284.179613</v>
      </c>
      <c r="M19">
        <v>37507.976197000004</v>
      </c>
      <c r="N19">
        <v>19302.189817999999</v>
      </c>
      <c r="O19">
        <v>17386.237667000001</v>
      </c>
      <c r="P19">
        <v>18837.592241999999</v>
      </c>
      <c r="Q19">
        <v>5396.7915199999998</v>
      </c>
      <c r="R19">
        <v>0</v>
      </c>
    </row>
    <row r="20" spans="1:18" x14ac:dyDescent="0.35">
      <c r="A20" t="s">
        <v>106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53444.307050000003</v>
      </c>
      <c r="I20">
        <v>90041.556976000007</v>
      </c>
      <c r="J20">
        <v>98929.639869000006</v>
      </c>
      <c r="K20">
        <v>69031.765954999995</v>
      </c>
      <c r="L20">
        <v>73652.286386000007</v>
      </c>
      <c r="M20">
        <v>68608.801651000002</v>
      </c>
      <c r="N20">
        <v>77957.998000000007</v>
      </c>
      <c r="O20">
        <v>72573.095333000005</v>
      </c>
      <c r="P20">
        <v>79504.166870999994</v>
      </c>
      <c r="Q20">
        <v>84788.297237999999</v>
      </c>
      <c r="R20">
        <v>36828.006852999999</v>
      </c>
    </row>
    <row r="21" spans="1:18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214.56084999999999</v>
      </c>
      <c r="I21">
        <v>331.98019512000002</v>
      </c>
      <c r="J21">
        <v>490.31413114999998</v>
      </c>
      <c r="K21">
        <v>595.88622726999995</v>
      </c>
      <c r="L21">
        <v>501.84704545</v>
      </c>
      <c r="M21">
        <v>513.06003029999999</v>
      </c>
      <c r="N21">
        <v>245.22027273</v>
      </c>
      <c r="O21">
        <v>286.16130951999997</v>
      </c>
      <c r="P21">
        <v>300.04395161000002</v>
      </c>
      <c r="Q21">
        <v>486.76180951999999</v>
      </c>
      <c r="R21">
        <v>315.57473528999998</v>
      </c>
    </row>
    <row r="22" spans="1:18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508131.31615000003</v>
      </c>
      <c r="I22">
        <v>744018.06246000004</v>
      </c>
      <c r="J22">
        <v>739552.58476999996</v>
      </c>
      <c r="K22">
        <v>688661.08200000005</v>
      </c>
      <c r="L22">
        <v>791902.48961000005</v>
      </c>
      <c r="M22">
        <v>791405.28457999998</v>
      </c>
      <c r="N22">
        <v>509878.55232000002</v>
      </c>
      <c r="O22">
        <v>543926.88789999997</v>
      </c>
      <c r="P22">
        <v>519581.6115</v>
      </c>
      <c r="Q22">
        <v>742689.52989999996</v>
      </c>
      <c r="R22">
        <v>408162.06900000002</v>
      </c>
    </row>
    <row r="23" spans="1:18" x14ac:dyDescent="0.35">
      <c r="A23" t="s">
        <v>110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89587.672699999996</v>
      </c>
      <c r="I23">
        <v>110249.40221</v>
      </c>
      <c r="J23">
        <v>124569.44383</v>
      </c>
      <c r="K23">
        <v>90481.937590999994</v>
      </c>
      <c r="L23">
        <v>93228.495955000006</v>
      </c>
      <c r="M23">
        <v>97376.566105999998</v>
      </c>
      <c r="N23">
        <v>90781.552500000005</v>
      </c>
      <c r="O23">
        <v>92512.748428999999</v>
      </c>
      <c r="P23">
        <v>94083.800145000001</v>
      </c>
      <c r="Q23">
        <v>100656.13661</v>
      </c>
      <c r="R23">
        <v>96216.622971000004</v>
      </c>
    </row>
    <row r="24" spans="1:18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433012.4167</v>
      </c>
      <c r="I24">
        <v>572488.08345999999</v>
      </c>
      <c r="J24">
        <v>559276.59521000006</v>
      </c>
      <c r="K24">
        <v>407345.48944999999</v>
      </c>
      <c r="L24">
        <v>451263.0528</v>
      </c>
      <c r="M24">
        <v>459401.13344000001</v>
      </c>
      <c r="N24">
        <v>531895.02705000003</v>
      </c>
      <c r="O24">
        <v>537910.82080999995</v>
      </c>
      <c r="P24">
        <v>554143.71692000004</v>
      </c>
      <c r="Q24">
        <v>620889.94452000002</v>
      </c>
      <c r="R24">
        <v>570708.20765</v>
      </c>
    </row>
    <row r="25" spans="1:18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190234.36670000001</v>
      </c>
      <c r="I25">
        <v>207462.45310000001</v>
      </c>
      <c r="J25">
        <v>205559.92337999999</v>
      </c>
      <c r="K25">
        <v>183552.38745000001</v>
      </c>
      <c r="L25">
        <v>210683.12075</v>
      </c>
      <c r="M25">
        <v>210735.27703</v>
      </c>
      <c r="N25">
        <v>120598.54904</v>
      </c>
      <c r="O25">
        <v>149610.76532999999</v>
      </c>
      <c r="P25">
        <v>164844.12875999999</v>
      </c>
      <c r="Q25">
        <v>204715.78675999999</v>
      </c>
      <c r="R25">
        <v>227266.00974000001</v>
      </c>
    </row>
    <row r="26" spans="1:18" x14ac:dyDescent="0.35">
      <c r="A26" t="s">
        <v>206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131501.6979</v>
      </c>
      <c r="I26">
        <v>116059.74695</v>
      </c>
      <c r="J26">
        <v>101298.15468000001</v>
      </c>
      <c r="K26">
        <v>73058.859773000004</v>
      </c>
      <c r="L26">
        <v>77263.463273000001</v>
      </c>
      <c r="M26">
        <v>71687.177849</v>
      </c>
      <c r="N26">
        <v>68366.715635999994</v>
      </c>
      <c r="O26">
        <v>99977.868595000007</v>
      </c>
      <c r="P26">
        <v>87889.285677000007</v>
      </c>
      <c r="Q26">
        <v>76682.738475999999</v>
      </c>
      <c r="R26">
        <v>35838.980028999998</v>
      </c>
    </row>
    <row r="27" spans="1:18" x14ac:dyDescent="0.35">
      <c r="A27" t="s">
        <v>121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50152.968950000002</v>
      </c>
      <c r="I27">
        <v>30562.401415</v>
      </c>
      <c r="J27">
        <v>26983.537327999999</v>
      </c>
      <c r="K27">
        <v>13581.148363</v>
      </c>
      <c r="L27">
        <v>16590.387022999999</v>
      </c>
      <c r="M27">
        <v>23086.402924000002</v>
      </c>
      <c r="N27">
        <v>15269.227272</v>
      </c>
      <c r="O27">
        <v>18847.248476000001</v>
      </c>
      <c r="P27">
        <v>17502.002806</v>
      </c>
      <c r="Q27">
        <v>12469.068809</v>
      </c>
      <c r="R27">
        <v>5440.1056765000003</v>
      </c>
    </row>
    <row r="28" spans="1:18" x14ac:dyDescent="0.35">
      <c r="A28" t="s">
        <v>108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5021.9980999999998</v>
      </c>
      <c r="I28">
        <v>5324.9518293000001</v>
      </c>
      <c r="J28">
        <v>4671.4505081999996</v>
      </c>
      <c r="K28">
        <v>4878.0910455000003</v>
      </c>
      <c r="L28">
        <v>4012.6762045</v>
      </c>
      <c r="M28">
        <v>3574.3500908999999</v>
      </c>
      <c r="N28">
        <v>2045.0345909</v>
      </c>
      <c r="O28">
        <v>2756.7865000000002</v>
      </c>
      <c r="P28">
        <v>3445.1642258000002</v>
      </c>
      <c r="Q28">
        <v>7437.3062381</v>
      </c>
      <c r="R28">
        <v>2390.2919118</v>
      </c>
    </row>
    <row r="29" spans="1:18" x14ac:dyDescent="0.35">
      <c r="A29" t="s">
        <v>203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444.60244999999998</v>
      </c>
      <c r="I29">
        <v>527.76119512000002</v>
      </c>
      <c r="J29">
        <v>503.07336065999999</v>
      </c>
      <c r="K29">
        <v>370.49127272999999</v>
      </c>
      <c r="L29">
        <v>580.67475000000002</v>
      </c>
      <c r="M29">
        <v>725.17409091000002</v>
      </c>
      <c r="N29">
        <v>750.29972726999995</v>
      </c>
      <c r="O29">
        <v>873.50533332999998</v>
      </c>
      <c r="P29">
        <v>1573.8313065</v>
      </c>
      <c r="Q29">
        <v>2660.5083332999998</v>
      </c>
      <c r="R29">
        <v>1969.2738824</v>
      </c>
    </row>
    <row r="30" spans="1:18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7681.9036999999998</v>
      </c>
      <c r="I30">
        <v>5817.9626097999999</v>
      </c>
      <c r="J30">
        <v>6777.1306393000004</v>
      </c>
      <c r="K30">
        <v>9025.6977272999993</v>
      </c>
      <c r="L30">
        <v>7844.7921136000004</v>
      </c>
      <c r="M30">
        <v>7831.9318030000004</v>
      </c>
      <c r="N30">
        <v>7906.3207272999998</v>
      </c>
      <c r="O30">
        <v>9800.3410000000003</v>
      </c>
      <c r="P30">
        <v>9443.5818225999992</v>
      </c>
      <c r="Q30">
        <v>10123.216476</v>
      </c>
      <c r="R30">
        <v>7140.1045000000004</v>
      </c>
    </row>
    <row r="31" spans="1:18" x14ac:dyDescent="0.35">
      <c r="A31" t="s">
        <v>460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970025.72424999997</v>
      </c>
      <c r="I31">
        <v>857634.86192000005</v>
      </c>
      <c r="J31">
        <v>832806.24928999995</v>
      </c>
      <c r="K31">
        <v>615751.63644000003</v>
      </c>
      <c r="L31">
        <v>655894.90220999997</v>
      </c>
      <c r="M31">
        <v>652258.21207999997</v>
      </c>
      <c r="N31">
        <v>797243.66371999995</v>
      </c>
      <c r="O31">
        <v>836039.85520999995</v>
      </c>
      <c r="P31">
        <v>889048.49693000002</v>
      </c>
      <c r="Q31">
        <v>964461.05429</v>
      </c>
      <c r="R31">
        <v>461555.99177999998</v>
      </c>
    </row>
    <row r="32" spans="1:18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283078.56339999998</v>
      </c>
      <c r="I32">
        <v>302901.36606999999</v>
      </c>
      <c r="J32">
        <v>295627.11407000001</v>
      </c>
      <c r="K32">
        <v>363485.41535999998</v>
      </c>
      <c r="L32">
        <v>384714.76747999998</v>
      </c>
      <c r="M32">
        <v>362410.06874000002</v>
      </c>
      <c r="N32">
        <v>389279.94691</v>
      </c>
      <c r="O32">
        <v>426352.51666999998</v>
      </c>
      <c r="P32">
        <v>432931.07702000003</v>
      </c>
      <c r="Q32">
        <v>459414.43823999999</v>
      </c>
      <c r="R32">
        <v>555727.65109000006</v>
      </c>
    </row>
    <row r="33" spans="1:18" x14ac:dyDescent="0.35">
      <c r="A33" t="s">
        <v>117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71.919200000000004</v>
      </c>
      <c r="I33">
        <v>60.029292683000001</v>
      </c>
      <c r="J33">
        <v>49.921967213000002</v>
      </c>
      <c r="K33">
        <v>28.917136364000001</v>
      </c>
      <c r="L33">
        <v>33.657136364000003</v>
      </c>
      <c r="M33">
        <v>39.910803029999997</v>
      </c>
      <c r="N33">
        <v>60.686318182000001</v>
      </c>
      <c r="O33">
        <v>63.006357143000002</v>
      </c>
      <c r="P33">
        <v>78.481790322999998</v>
      </c>
      <c r="Q33">
        <v>129.73709524</v>
      </c>
      <c r="R33">
        <v>235.74444118</v>
      </c>
    </row>
    <row r="34" spans="1:18" x14ac:dyDescent="0.35">
      <c r="A34" t="s">
        <v>107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9245.0280000000002</v>
      </c>
      <c r="I34">
        <v>11085.668292</v>
      </c>
      <c r="J34">
        <v>12318.512376999999</v>
      </c>
      <c r="K34">
        <v>11516.690544999999</v>
      </c>
      <c r="L34">
        <v>12834.184294999999</v>
      </c>
      <c r="M34">
        <v>11591.954484</v>
      </c>
      <c r="N34">
        <v>31662.908181999999</v>
      </c>
      <c r="O34">
        <v>31114.561689999999</v>
      </c>
      <c r="P34">
        <v>25700.812870999998</v>
      </c>
      <c r="Q34">
        <v>14480.393952</v>
      </c>
      <c r="R34">
        <v>0</v>
      </c>
    </row>
    <row r="35" spans="1:18" x14ac:dyDescent="0.35">
      <c r="A35" t="s">
        <v>111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104109.36695</v>
      </c>
      <c r="I35">
        <v>84325.937781000001</v>
      </c>
      <c r="J35">
        <v>77689.914443000001</v>
      </c>
      <c r="K35">
        <v>51400.953181999997</v>
      </c>
      <c r="L35">
        <v>53018.671885999996</v>
      </c>
      <c r="M35">
        <v>48506.562758</v>
      </c>
      <c r="N35">
        <v>33582.387318000001</v>
      </c>
      <c r="O35">
        <v>62604.329976000001</v>
      </c>
      <c r="P35">
        <v>81914.574015999999</v>
      </c>
      <c r="Q35">
        <v>78193.679237999997</v>
      </c>
      <c r="R35">
        <v>38489.975912000002</v>
      </c>
    </row>
    <row r="36" spans="1:18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276366.49119999999</v>
      </c>
      <c r="I36">
        <v>208378.67417000001</v>
      </c>
      <c r="J36">
        <v>199426.69497000001</v>
      </c>
      <c r="K36">
        <v>127270.27654000001</v>
      </c>
      <c r="L36">
        <v>140511.07691</v>
      </c>
      <c r="M36">
        <v>137842.30592000001</v>
      </c>
      <c r="N36">
        <v>151958.69464</v>
      </c>
      <c r="O36">
        <v>133468.69063999999</v>
      </c>
      <c r="P36">
        <v>156697.66277</v>
      </c>
      <c r="Q36">
        <v>202210.65171000001</v>
      </c>
      <c r="R36">
        <v>148114.12805999999</v>
      </c>
    </row>
    <row r="37" spans="1:18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4283.5667000000003</v>
      </c>
      <c r="I37">
        <v>4141.0969267999999</v>
      </c>
      <c r="J37">
        <v>3751.4097704999999</v>
      </c>
      <c r="K37">
        <v>3725.0700455000001</v>
      </c>
      <c r="L37">
        <v>3494.2748636000001</v>
      </c>
      <c r="M37">
        <v>4051.0520455000001</v>
      </c>
      <c r="N37">
        <v>6325.6569545000002</v>
      </c>
      <c r="O37">
        <v>6345.7281666999997</v>
      </c>
      <c r="P37">
        <v>5590.5142581</v>
      </c>
      <c r="Q37">
        <v>6070.306619</v>
      </c>
      <c r="R37">
        <v>4224.4720588</v>
      </c>
    </row>
    <row r="38" spans="1:18" x14ac:dyDescent="0.35">
      <c r="A38" t="s">
        <v>115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148657.91764999999</v>
      </c>
      <c r="I38">
        <v>188552.17515</v>
      </c>
      <c r="J38">
        <v>193948.84890000001</v>
      </c>
      <c r="K38">
        <v>222662.95545000001</v>
      </c>
      <c r="L38">
        <v>174182.06052</v>
      </c>
      <c r="M38">
        <v>228037.00924000001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5">
      <c r="A39" t="s">
        <v>461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5">
      <c r="A40" t="s">
        <v>113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259.41820000000001</v>
      </c>
      <c r="I40">
        <v>379.81987805</v>
      </c>
      <c r="J40">
        <v>321.10475409999998</v>
      </c>
      <c r="K40">
        <v>222.58536364</v>
      </c>
      <c r="L40">
        <v>209.94127273000001</v>
      </c>
      <c r="M40">
        <v>237.06528788</v>
      </c>
      <c r="N40">
        <v>174.81840908999999</v>
      </c>
      <c r="O40">
        <v>190.83911904999999</v>
      </c>
      <c r="P40">
        <v>183.35193548000001</v>
      </c>
      <c r="Q40">
        <v>266.45804762</v>
      </c>
      <c r="R40">
        <v>162.59682352999999</v>
      </c>
    </row>
    <row r="41" spans="1:18" x14ac:dyDescent="0.35">
      <c r="A41" t="s">
        <v>114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38530.308799999999</v>
      </c>
      <c r="I41">
        <v>44734.059462999998</v>
      </c>
      <c r="J41">
        <v>40942.276622999998</v>
      </c>
      <c r="K41">
        <v>37248.821318000002</v>
      </c>
      <c r="L41">
        <v>36016.152135999997</v>
      </c>
      <c r="M41">
        <v>35248.012682</v>
      </c>
      <c r="N41">
        <v>23906.236454999998</v>
      </c>
      <c r="O41">
        <v>27787.505429000001</v>
      </c>
      <c r="P41">
        <v>30252.422371000001</v>
      </c>
      <c r="Q41">
        <v>35547.924524000002</v>
      </c>
      <c r="R41">
        <v>38143.885117999998</v>
      </c>
    </row>
    <row r="42" spans="1:18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12359.185949999999</v>
      </c>
      <c r="I42">
        <v>14990.263902000001</v>
      </c>
      <c r="J42">
        <v>14616.326983000001</v>
      </c>
      <c r="K42">
        <v>13003.58459</v>
      </c>
      <c r="L42">
        <v>14020.675227</v>
      </c>
      <c r="M42">
        <v>14473.350075</v>
      </c>
      <c r="N42">
        <v>10889.623727</v>
      </c>
      <c r="O42">
        <v>13253.618381</v>
      </c>
      <c r="P42">
        <v>17607.374758000002</v>
      </c>
      <c r="Q42">
        <v>28890.908714000001</v>
      </c>
      <c r="R42">
        <v>15278.735028999999</v>
      </c>
    </row>
    <row r="43" spans="1:18" x14ac:dyDescent="0.35">
      <c r="A43" t="s">
        <v>116</v>
      </c>
      <c r="E43">
        <v>489.79104545000001</v>
      </c>
      <c r="F43">
        <v>561.55954761999999</v>
      </c>
      <c r="G43">
        <v>602.19086885000002</v>
      </c>
      <c r="H43">
        <v>522.76964999999996</v>
      </c>
      <c r="I43">
        <v>617.29573171000004</v>
      </c>
      <c r="J43">
        <v>588.59150820000002</v>
      </c>
      <c r="K43">
        <v>603.23586364000005</v>
      </c>
      <c r="L43">
        <v>598.62636364000002</v>
      </c>
      <c r="M43">
        <v>617.72327272999996</v>
      </c>
      <c r="N43">
        <v>466.53336364</v>
      </c>
      <c r="O43">
        <v>613.66919048</v>
      </c>
      <c r="P43">
        <v>644.26820968000004</v>
      </c>
      <c r="Q43">
        <v>867.59609523999995</v>
      </c>
      <c r="R43">
        <v>601.65035293999995</v>
      </c>
    </row>
    <row r="44" spans="1:18" x14ac:dyDescent="0.35">
      <c r="A44" t="s">
        <v>119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319.46704999999997</v>
      </c>
      <c r="I44">
        <v>425.39521951</v>
      </c>
      <c r="J44">
        <v>365.57478688999998</v>
      </c>
      <c r="K44">
        <v>278.34845454999999</v>
      </c>
      <c r="L44">
        <v>308.15288636000002</v>
      </c>
      <c r="M44">
        <v>315.58843939000002</v>
      </c>
      <c r="N44">
        <v>177.3015</v>
      </c>
      <c r="O44">
        <v>281.20902381000002</v>
      </c>
      <c r="P44">
        <v>257.61522581000003</v>
      </c>
      <c r="Q44">
        <v>331.88157143000001</v>
      </c>
      <c r="R44">
        <v>120.14385294</v>
      </c>
    </row>
    <row r="45" spans="1:18" x14ac:dyDescent="0.35">
      <c r="A45" t="s">
        <v>120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8731.9144500000002</v>
      </c>
      <c r="I45">
        <v>8022.9719512000001</v>
      </c>
      <c r="J45">
        <v>7636.7227376999999</v>
      </c>
      <c r="K45">
        <v>7097.2321363999999</v>
      </c>
      <c r="L45">
        <v>5772.4538635999997</v>
      </c>
      <c r="M45">
        <v>5614.7684393999998</v>
      </c>
      <c r="N45">
        <v>4769.1866817999999</v>
      </c>
      <c r="O45">
        <v>4484.0018332999998</v>
      </c>
      <c r="P45">
        <v>4563.2154194000004</v>
      </c>
      <c r="Q45">
        <v>8178.0716190000003</v>
      </c>
      <c r="R45">
        <v>5032.5325000000003</v>
      </c>
    </row>
    <row r="46" spans="1:18" x14ac:dyDescent="0.35">
      <c r="A46" t="s">
        <v>201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19924.224149999998</v>
      </c>
      <c r="I46">
        <v>44225.653365999999</v>
      </c>
      <c r="J46">
        <v>37099.686607000003</v>
      </c>
      <c r="K46">
        <v>25118.947227000001</v>
      </c>
      <c r="L46">
        <v>18600.261705000001</v>
      </c>
      <c r="M46">
        <v>15684.86803</v>
      </c>
      <c r="N46">
        <v>13082.587181000001</v>
      </c>
      <c r="O46">
        <v>11883.207285</v>
      </c>
      <c r="P46">
        <v>10065.131887</v>
      </c>
      <c r="Q46">
        <v>6855.2127619000003</v>
      </c>
      <c r="R46">
        <v>9516.4937059000004</v>
      </c>
    </row>
    <row r="47" spans="1:18" x14ac:dyDescent="0.35">
      <c r="A47" t="s">
        <v>122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32923.905149999999</v>
      </c>
      <c r="I47">
        <v>28543.231049000002</v>
      </c>
      <c r="J47">
        <v>26505.148754000002</v>
      </c>
      <c r="K47">
        <v>17707.188727000001</v>
      </c>
      <c r="L47">
        <v>26666.802954999999</v>
      </c>
      <c r="M47">
        <v>26070.308076000001</v>
      </c>
      <c r="N47">
        <v>31639.659409</v>
      </c>
      <c r="O47">
        <v>31079.057380999999</v>
      </c>
      <c r="P47">
        <v>30662.474999999999</v>
      </c>
      <c r="Q47">
        <v>71883.413285999995</v>
      </c>
      <c r="R47">
        <v>25463.948412000002</v>
      </c>
    </row>
    <row r="48" spans="1:18" x14ac:dyDescent="0.35">
      <c r="A48" t="s">
        <v>208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171047.03954999999</v>
      </c>
      <c r="I48">
        <v>139353.64095</v>
      </c>
      <c r="J48">
        <v>120872.5425</v>
      </c>
      <c r="K48">
        <v>96108.988727000004</v>
      </c>
      <c r="L48">
        <v>100450.70947</v>
      </c>
      <c r="M48">
        <v>99320.904167000001</v>
      </c>
      <c r="N48">
        <v>140141.67123000001</v>
      </c>
      <c r="O48">
        <v>158380.84888000001</v>
      </c>
      <c r="P48">
        <v>157485.10292</v>
      </c>
      <c r="Q48">
        <v>128471.75485</v>
      </c>
      <c r="R48">
        <v>107652.40535</v>
      </c>
    </row>
    <row r="49" spans="1:18" x14ac:dyDescent="0.35">
      <c r="A49" t="s">
        <v>123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44423.924350000001</v>
      </c>
      <c r="I49">
        <v>48549.784121999997</v>
      </c>
      <c r="J49">
        <v>47597.472902000001</v>
      </c>
      <c r="K49">
        <v>54672.519091000002</v>
      </c>
      <c r="L49">
        <v>63135.930226999997</v>
      </c>
      <c r="M49">
        <v>62554.807879</v>
      </c>
      <c r="N49">
        <v>57540.481136000002</v>
      </c>
      <c r="O49">
        <v>62099.908571</v>
      </c>
      <c r="P49">
        <v>108979.51069</v>
      </c>
      <c r="Q49">
        <v>159576.31133</v>
      </c>
      <c r="R49">
        <v>65729.236824000007</v>
      </c>
    </row>
    <row r="50" spans="1:18" x14ac:dyDescent="0.35">
      <c r="A50" t="s">
        <v>124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204.79785000000001</v>
      </c>
      <c r="I50">
        <v>156.83468293000001</v>
      </c>
      <c r="J50">
        <v>137.86588524999999</v>
      </c>
      <c r="K50">
        <v>90.824681818000002</v>
      </c>
      <c r="L50">
        <v>152.40390909000001</v>
      </c>
      <c r="M50">
        <v>249.82898485000001</v>
      </c>
      <c r="N50">
        <v>128.46245454999999</v>
      </c>
      <c r="O50">
        <v>162.22057143000001</v>
      </c>
      <c r="P50">
        <v>150.27058065</v>
      </c>
      <c r="Q50">
        <v>93.390571429000005</v>
      </c>
      <c r="R50">
        <v>203.17773528999999</v>
      </c>
    </row>
    <row r="51" spans="1:18" x14ac:dyDescent="0.35">
      <c r="A51" t="s">
        <v>125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87.918000000000006</v>
      </c>
      <c r="I51">
        <v>54.485317072999997</v>
      </c>
      <c r="J51">
        <v>62.351901638999998</v>
      </c>
      <c r="K51">
        <v>48.292590908999998</v>
      </c>
      <c r="L51">
        <v>116.68670453999999</v>
      </c>
      <c r="M51">
        <v>152.00337879</v>
      </c>
      <c r="N51">
        <v>78.295818182000005</v>
      </c>
      <c r="O51">
        <v>109.52288095</v>
      </c>
      <c r="P51">
        <v>105.51216128999999</v>
      </c>
      <c r="Q51">
        <v>53.36047619</v>
      </c>
      <c r="R51">
        <v>267.25850000000003</v>
      </c>
    </row>
    <row r="52" spans="1:18" x14ac:dyDescent="0.35">
      <c r="A52" t="s">
        <v>126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207.97915</v>
      </c>
      <c r="I52">
        <v>185.70395121999999</v>
      </c>
      <c r="J52">
        <v>162.92673769999999</v>
      </c>
      <c r="K52">
        <v>99.531136364000005</v>
      </c>
      <c r="L52">
        <v>198.49872726999999</v>
      </c>
      <c r="M52">
        <v>422.57863636000002</v>
      </c>
      <c r="N52">
        <v>254.33672727000001</v>
      </c>
      <c r="O52">
        <v>307.78261904999999</v>
      </c>
      <c r="P52">
        <v>289.22909677000001</v>
      </c>
      <c r="Q52">
        <v>170.37676189999999</v>
      </c>
      <c r="R52">
        <v>93.253852941000005</v>
      </c>
    </row>
    <row r="53" spans="1:18" x14ac:dyDescent="0.35">
      <c r="A53" t="s">
        <v>173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171.18899999999999</v>
      </c>
      <c r="I53">
        <v>205.17478048999999</v>
      </c>
      <c r="J53">
        <v>295.32478688999998</v>
      </c>
      <c r="K53">
        <v>155.78281817999999</v>
      </c>
      <c r="L53">
        <v>259.52297727000001</v>
      </c>
      <c r="M53">
        <v>237.25695454999999</v>
      </c>
      <c r="N53">
        <v>766.00159091</v>
      </c>
      <c r="O53">
        <v>510.12892857000003</v>
      </c>
      <c r="P53">
        <v>698.11730645</v>
      </c>
      <c r="Q53">
        <v>325.65633333</v>
      </c>
      <c r="R53">
        <v>86.207441176000003</v>
      </c>
    </row>
    <row r="54" spans="1:18" x14ac:dyDescent="0.35">
      <c r="A54" t="s">
        <v>462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2887.5942500000001</v>
      </c>
      <c r="I54">
        <v>1408.5825609999999</v>
      </c>
      <c r="J54">
        <v>946.75221310999996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5">
      <c r="A55" t="s">
        <v>127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3.0355500000000002</v>
      </c>
      <c r="I55">
        <v>6.4056585365999998</v>
      </c>
      <c r="J55">
        <v>5.9470983607000001</v>
      </c>
      <c r="K55">
        <v>6.5626818181999997</v>
      </c>
      <c r="L55">
        <v>19.995681818000001</v>
      </c>
      <c r="M55">
        <v>16.849848484999999</v>
      </c>
      <c r="N55">
        <v>14.41340909</v>
      </c>
      <c r="O55">
        <v>11.145714285</v>
      </c>
      <c r="P55">
        <v>14.198290322</v>
      </c>
      <c r="Q55">
        <v>18.417285713999998</v>
      </c>
      <c r="R55">
        <v>16.594294118000001</v>
      </c>
    </row>
    <row r="56" spans="1:18" x14ac:dyDescent="0.35">
      <c r="A56" t="s">
        <v>128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288.96929999999998</v>
      </c>
      <c r="I56">
        <v>377.00643902000002</v>
      </c>
      <c r="J56">
        <v>394.32570492000002</v>
      </c>
      <c r="K56">
        <v>293.06963636</v>
      </c>
      <c r="L56">
        <v>420.10197727000002</v>
      </c>
      <c r="M56">
        <v>493.09025758000001</v>
      </c>
      <c r="N56">
        <v>559.77386363999995</v>
      </c>
      <c r="O56">
        <v>658.60795238000003</v>
      </c>
      <c r="P56">
        <v>591.71948386999998</v>
      </c>
      <c r="Q56">
        <v>404.16142857</v>
      </c>
      <c r="R56">
        <v>522.37108823999995</v>
      </c>
    </row>
    <row r="57" spans="1:18" x14ac:dyDescent="0.35">
      <c r="A57" t="s">
        <v>129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181590.3358</v>
      </c>
      <c r="I57">
        <v>156437.87520000001</v>
      </c>
      <c r="J57">
        <v>143954.10995000001</v>
      </c>
      <c r="K57">
        <v>101984.35077</v>
      </c>
      <c r="L57">
        <v>114670.34656000001</v>
      </c>
      <c r="M57">
        <v>108441.29822</v>
      </c>
      <c r="N57">
        <v>98188.876455000005</v>
      </c>
      <c r="O57">
        <v>109164.32402</v>
      </c>
      <c r="P57">
        <v>117309.56995</v>
      </c>
      <c r="Q57">
        <v>160226.32633000001</v>
      </c>
      <c r="R57">
        <v>131719.88008999999</v>
      </c>
    </row>
    <row r="58" spans="1:18" x14ac:dyDescent="0.35">
      <c r="A58" t="s">
        <v>140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45576.525199999996</v>
      </c>
      <c r="I58">
        <v>44685.813024000003</v>
      </c>
      <c r="J58">
        <v>40447.412392999999</v>
      </c>
      <c r="K58">
        <v>24523.387273</v>
      </c>
      <c r="L58">
        <v>24633.487476999999</v>
      </c>
      <c r="M58">
        <v>23810.645712000001</v>
      </c>
      <c r="N58">
        <v>26775.464544999999</v>
      </c>
      <c r="O58">
        <v>33677.732190000002</v>
      </c>
      <c r="P58">
        <v>36875.948967999997</v>
      </c>
      <c r="Q58">
        <v>43064.812333000002</v>
      </c>
      <c r="R58">
        <v>50006.577853000003</v>
      </c>
    </row>
    <row r="59" spans="1:18" x14ac:dyDescent="0.35">
      <c r="A59" t="s">
        <v>130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0.3755</v>
      </c>
      <c r="I59">
        <v>1.3012195122000001</v>
      </c>
      <c r="J59">
        <v>2.6707540984000002</v>
      </c>
      <c r="K59">
        <v>3.5950909091000001</v>
      </c>
      <c r="L59">
        <v>2.0475454544999998</v>
      </c>
      <c r="M59">
        <v>3.0991666667</v>
      </c>
      <c r="N59">
        <v>1.5723636364</v>
      </c>
      <c r="O59">
        <v>1.1295714286</v>
      </c>
      <c r="P59">
        <v>0.76519354838999998</v>
      </c>
      <c r="Q59">
        <v>1.2284761904999999</v>
      </c>
      <c r="R59">
        <v>8.5499411765000009</v>
      </c>
    </row>
    <row r="60" spans="1:18" x14ac:dyDescent="0.35">
      <c r="A60" t="s">
        <v>131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209.7474</v>
      </c>
      <c r="I60">
        <v>229.48946341000001</v>
      </c>
      <c r="J60">
        <v>185.46336066000001</v>
      </c>
      <c r="K60">
        <v>283.81113635999998</v>
      </c>
      <c r="L60">
        <v>304.02522727000002</v>
      </c>
      <c r="M60">
        <v>259.06727273000001</v>
      </c>
      <c r="N60">
        <v>279.40990908999999</v>
      </c>
      <c r="O60">
        <v>776.07859524000003</v>
      </c>
      <c r="P60">
        <v>657.93022581000002</v>
      </c>
      <c r="Q60">
        <v>400.37314285999997</v>
      </c>
      <c r="R60">
        <v>396.30676470999998</v>
      </c>
    </row>
    <row r="61" spans="1:18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153660.73809999999</v>
      </c>
      <c r="I61">
        <v>154150.17212</v>
      </c>
      <c r="J61">
        <v>135796.77836</v>
      </c>
      <c r="K61">
        <v>75827.437999999995</v>
      </c>
      <c r="L61">
        <v>83810.162068000005</v>
      </c>
      <c r="M61">
        <v>84937.360484999997</v>
      </c>
      <c r="N61">
        <v>83018.602364000006</v>
      </c>
      <c r="O61">
        <v>94430.741928999996</v>
      </c>
      <c r="P61">
        <v>92302.666580999998</v>
      </c>
      <c r="Q61">
        <v>146372.22962</v>
      </c>
      <c r="R61">
        <v>55258.739911999997</v>
      </c>
    </row>
    <row r="62" spans="1:18" x14ac:dyDescent="0.35">
      <c r="A62" t="s">
        <v>137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67356.240900000004</v>
      </c>
      <c r="I62">
        <v>60958.317755999997</v>
      </c>
      <c r="J62">
        <v>55688.131754000002</v>
      </c>
      <c r="K62">
        <v>42804.391863999997</v>
      </c>
      <c r="L62">
        <v>51061.789727000003</v>
      </c>
      <c r="M62">
        <v>51335.264227</v>
      </c>
      <c r="N62">
        <v>49553.045091</v>
      </c>
      <c r="O62">
        <v>81769.372856999995</v>
      </c>
      <c r="P62">
        <v>92881.188112999997</v>
      </c>
      <c r="Q62">
        <v>106498.02323000001</v>
      </c>
      <c r="R62">
        <v>59659.466882000001</v>
      </c>
    </row>
    <row r="63" spans="1:18" x14ac:dyDescent="0.35">
      <c r="A63" t="s">
        <v>134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65462.068149999999</v>
      </c>
      <c r="I63">
        <v>73343.165122000006</v>
      </c>
      <c r="J63">
        <v>70394.739639000007</v>
      </c>
      <c r="K63">
        <v>52802.824909000003</v>
      </c>
      <c r="L63">
        <v>52517.543772999998</v>
      </c>
      <c r="M63">
        <v>53013.307773</v>
      </c>
      <c r="N63">
        <v>57232.773045000002</v>
      </c>
      <c r="O63">
        <v>82332.969951999999</v>
      </c>
      <c r="P63">
        <v>113760.71793</v>
      </c>
      <c r="Q63">
        <v>276705.59214000002</v>
      </c>
      <c r="R63">
        <v>227597.08171</v>
      </c>
    </row>
    <row r="64" spans="1:18" x14ac:dyDescent="0.35">
      <c r="A64" t="s">
        <v>135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181927.57269999999</v>
      </c>
      <c r="I64">
        <v>201392.18497999999</v>
      </c>
      <c r="J64">
        <v>183687.72065999999</v>
      </c>
      <c r="K64">
        <v>119791.94404</v>
      </c>
      <c r="L64">
        <v>145883.47166000001</v>
      </c>
      <c r="M64">
        <v>137777.39705999999</v>
      </c>
      <c r="N64">
        <v>144528.77458999999</v>
      </c>
      <c r="O64">
        <v>98846.540548000004</v>
      </c>
      <c r="P64">
        <v>66960.559726000007</v>
      </c>
      <c r="Q64">
        <v>0</v>
      </c>
      <c r="R64">
        <v>0</v>
      </c>
    </row>
    <row r="65" spans="1:18" x14ac:dyDescent="0.35">
      <c r="A65" t="s">
        <v>463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349171.7977</v>
      </c>
      <c r="I65">
        <v>271922.70890000003</v>
      </c>
      <c r="J65">
        <v>182767.72237999999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5">
      <c r="A66" t="s">
        <v>138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31.21895</v>
      </c>
      <c r="I66">
        <v>28.882634146000001</v>
      </c>
      <c r="J66">
        <v>37.559245902000001</v>
      </c>
      <c r="K66">
        <v>37.376863636000003</v>
      </c>
      <c r="L66">
        <v>36.289681817999998</v>
      </c>
      <c r="M66">
        <v>67.033969697000003</v>
      </c>
      <c r="N66">
        <v>118.31827272</v>
      </c>
      <c r="O66">
        <v>138.84683333000001</v>
      </c>
      <c r="P66">
        <v>112.7452258</v>
      </c>
      <c r="Q66">
        <v>40.531619048000003</v>
      </c>
      <c r="R66">
        <v>68.011970587999997</v>
      </c>
    </row>
    <row r="67" spans="1:18" x14ac:dyDescent="0.35">
      <c r="A67" t="s">
        <v>139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2.8374999999999999</v>
      </c>
      <c r="I67">
        <v>3.2803170732</v>
      </c>
      <c r="J67">
        <v>3.4361639344000001</v>
      </c>
      <c r="K67">
        <v>0.78159090908999995</v>
      </c>
      <c r="L67">
        <v>1.0805681817999999</v>
      </c>
      <c r="M67">
        <v>1.1577727273</v>
      </c>
      <c r="N67">
        <v>15.248590909000001</v>
      </c>
      <c r="O67">
        <v>13.357880952</v>
      </c>
      <c r="P67">
        <v>9.9431612903000008</v>
      </c>
      <c r="Q67">
        <v>4.3865714285999999</v>
      </c>
      <c r="R67">
        <v>1.9417647059000001</v>
      </c>
    </row>
    <row r="68" spans="1:18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134156.12065</v>
      </c>
      <c r="I68">
        <v>143923.14378000001</v>
      </c>
      <c r="J68">
        <v>142633.55979</v>
      </c>
      <c r="K68">
        <v>106903.34831</v>
      </c>
      <c r="L68">
        <v>106474.73679</v>
      </c>
      <c r="M68">
        <v>173386.41636</v>
      </c>
      <c r="N68">
        <v>113332.45968</v>
      </c>
      <c r="O68">
        <v>196529.24124</v>
      </c>
      <c r="P68">
        <v>201135.90072999999</v>
      </c>
      <c r="Q68">
        <v>242406.5871</v>
      </c>
      <c r="R68">
        <v>82062.144853000005</v>
      </c>
    </row>
    <row r="69" spans="1:18" x14ac:dyDescent="0.35">
      <c r="A69" t="s">
        <v>133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41374.373500000002</v>
      </c>
      <c r="I69">
        <v>45946.395293000001</v>
      </c>
      <c r="J69">
        <v>51481.045147999997</v>
      </c>
      <c r="K69">
        <v>71891.464773</v>
      </c>
      <c r="L69">
        <v>81518.600273000004</v>
      </c>
      <c r="M69">
        <v>86284.659</v>
      </c>
      <c r="N69">
        <v>73033.752863999995</v>
      </c>
      <c r="O69">
        <v>70188.640238000007</v>
      </c>
      <c r="P69">
        <v>90214.190887000004</v>
      </c>
      <c r="Q69">
        <v>144462.13167</v>
      </c>
      <c r="R69">
        <v>247775.51178999999</v>
      </c>
    </row>
    <row r="70" spans="1:18" x14ac:dyDescent="0.35">
      <c r="A70" t="s">
        <v>246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97353.720700000005</v>
      </c>
      <c r="I70">
        <v>97054.841658999998</v>
      </c>
      <c r="J70">
        <v>88960.834409999996</v>
      </c>
      <c r="K70">
        <v>69546.804955</v>
      </c>
      <c r="L70">
        <v>67272.538635999997</v>
      </c>
      <c r="M70">
        <v>62028.260757999997</v>
      </c>
      <c r="N70">
        <v>73054.132635999995</v>
      </c>
      <c r="O70">
        <v>73577.665286000003</v>
      </c>
      <c r="P70">
        <v>75809.109064999997</v>
      </c>
      <c r="Q70">
        <v>129653.09981</v>
      </c>
      <c r="R70">
        <v>65012.985029000003</v>
      </c>
    </row>
    <row r="71" spans="1:18" x14ac:dyDescent="0.35">
      <c r="A71" t="s">
        <v>141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808.35775000000001</v>
      </c>
      <c r="I71">
        <v>737.63014634000001</v>
      </c>
      <c r="J71">
        <v>645.93642623000005</v>
      </c>
      <c r="K71">
        <v>543.57950000000005</v>
      </c>
      <c r="L71">
        <v>622.12809090999997</v>
      </c>
      <c r="M71">
        <v>589.04157576</v>
      </c>
      <c r="N71">
        <v>498.38881817999999</v>
      </c>
      <c r="O71">
        <v>592.65845237999997</v>
      </c>
      <c r="P71">
        <v>941.95985484000005</v>
      </c>
      <c r="Q71">
        <v>2213.7226190000001</v>
      </c>
      <c r="R71">
        <v>991.33199999999999</v>
      </c>
    </row>
    <row r="72" spans="1:18" x14ac:dyDescent="0.35">
      <c r="A72" t="s">
        <v>136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5">
      <c r="A73" t="s">
        <v>142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54361.7235</v>
      </c>
      <c r="I73">
        <v>66550.913610000003</v>
      </c>
      <c r="J73">
        <v>66046.669951000003</v>
      </c>
      <c r="K73">
        <v>51401.897273000002</v>
      </c>
      <c r="L73">
        <v>64732.033158999999</v>
      </c>
      <c r="M73">
        <v>64227.119272999997</v>
      </c>
      <c r="N73">
        <v>75140.975044999999</v>
      </c>
      <c r="O73">
        <v>73988.308952000007</v>
      </c>
      <c r="P73">
        <v>86978.230806000007</v>
      </c>
      <c r="Q73">
        <v>108805.09119000001</v>
      </c>
      <c r="R73">
        <v>114158.90617</v>
      </c>
    </row>
    <row r="74" spans="1:18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41315.180699999997</v>
      </c>
      <c r="I74">
        <v>37800.993512000001</v>
      </c>
      <c r="J74">
        <v>35608.637458999998</v>
      </c>
      <c r="K74">
        <v>21734.579044999999</v>
      </c>
      <c r="L74">
        <v>22525.268113999999</v>
      </c>
      <c r="M74">
        <v>23018.160379000001</v>
      </c>
      <c r="N74">
        <v>14315.020681</v>
      </c>
      <c r="O74">
        <v>21146.258666999998</v>
      </c>
      <c r="P74">
        <v>21530.732564999998</v>
      </c>
      <c r="Q74">
        <v>74511.383856999993</v>
      </c>
      <c r="R74">
        <v>19285.321971000001</v>
      </c>
    </row>
    <row r="75" spans="1:18" x14ac:dyDescent="0.35">
      <c r="A75" t="s">
        <v>118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73708.248600000006</v>
      </c>
      <c r="I75">
        <v>73482.458511999997</v>
      </c>
      <c r="J75">
        <v>73934.044525000005</v>
      </c>
      <c r="K75">
        <v>56848.253227000001</v>
      </c>
      <c r="L75">
        <v>57347.937273000003</v>
      </c>
      <c r="M75">
        <v>62146.166620999997</v>
      </c>
      <c r="N75">
        <v>52115.538364</v>
      </c>
      <c r="O75">
        <v>54741.831856999997</v>
      </c>
      <c r="P75">
        <v>55324.288581000001</v>
      </c>
      <c r="Q75">
        <v>67266.964143000005</v>
      </c>
      <c r="R75">
        <v>148274.74109</v>
      </c>
    </row>
    <row r="76" spans="1:18" x14ac:dyDescent="0.35">
      <c r="A76" t="s">
        <v>143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151378.23929999999</v>
      </c>
      <c r="I76">
        <v>150546.25972999999</v>
      </c>
      <c r="J76">
        <v>135475.55179</v>
      </c>
      <c r="K76">
        <v>132113.59232</v>
      </c>
      <c r="L76">
        <v>141560.53700000001</v>
      </c>
      <c r="M76">
        <v>144949.57715</v>
      </c>
      <c r="N76">
        <v>127103.42236</v>
      </c>
      <c r="O76">
        <v>137021.02174</v>
      </c>
      <c r="P76">
        <v>163177.73811000001</v>
      </c>
      <c r="Q76">
        <v>170769.16581000001</v>
      </c>
      <c r="R76">
        <v>131837.17908999999</v>
      </c>
    </row>
    <row r="77" spans="1:18" x14ac:dyDescent="0.35">
      <c r="A77" t="s">
        <v>145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838.96979999999996</v>
      </c>
      <c r="I77">
        <v>1165.6760732</v>
      </c>
      <c r="J77">
        <v>1329.9885409999999</v>
      </c>
      <c r="K77">
        <v>863.41645455000003</v>
      </c>
      <c r="L77">
        <v>1276.4434318000001</v>
      </c>
      <c r="M77">
        <v>1327.3770302999999</v>
      </c>
      <c r="N77">
        <v>2300.8845455000001</v>
      </c>
      <c r="O77">
        <v>4890.4059524000004</v>
      </c>
      <c r="P77">
        <v>6864.6079355000002</v>
      </c>
      <c r="Q77">
        <v>11288.450951999999</v>
      </c>
      <c r="R77">
        <v>2693.6197941</v>
      </c>
    </row>
    <row r="78" spans="1:18" x14ac:dyDescent="0.35">
      <c r="A78" t="s">
        <v>146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2971.3308000000002</v>
      </c>
      <c r="I78">
        <v>2658.3354146000001</v>
      </c>
      <c r="J78">
        <v>2308.9333443</v>
      </c>
      <c r="K78">
        <v>1063.4004545</v>
      </c>
      <c r="L78">
        <v>1312.6267273000001</v>
      </c>
      <c r="M78">
        <v>1705.1120455</v>
      </c>
      <c r="N78">
        <v>15916.481363000001</v>
      </c>
      <c r="O78">
        <v>16647.9205</v>
      </c>
      <c r="P78">
        <v>16055.215629</v>
      </c>
      <c r="Q78">
        <v>28289.888286000001</v>
      </c>
      <c r="R78">
        <v>7192.8306470999996</v>
      </c>
    </row>
    <row r="79" spans="1:18" x14ac:dyDescent="0.35">
      <c r="A79" t="s">
        <v>148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793.20585000000005</v>
      </c>
      <c r="I79">
        <v>938.80765854000003</v>
      </c>
      <c r="J79">
        <v>901.57132787</v>
      </c>
      <c r="K79">
        <v>696.74281817999997</v>
      </c>
      <c r="L79">
        <v>845.17920455000001</v>
      </c>
      <c r="M79">
        <v>870.41642423999997</v>
      </c>
      <c r="N79">
        <v>647.74249999999995</v>
      </c>
      <c r="O79">
        <v>786.65788095000005</v>
      </c>
      <c r="P79">
        <v>1191.8275484000001</v>
      </c>
      <c r="Q79">
        <v>1562.184381</v>
      </c>
      <c r="R79">
        <v>477.14882353000002</v>
      </c>
    </row>
    <row r="80" spans="1:18" x14ac:dyDescent="0.35">
      <c r="A80" t="s">
        <v>150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68254.599300000002</v>
      </c>
      <c r="I80">
        <v>76236.895950999999</v>
      </c>
      <c r="J80">
        <v>73534.470098000005</v>
      </c>
      <c r="K80">
        <v>58955.250455000001</v>
      </c>
      <c r="L80">
        <v>60901.552454999997</v>
      </c>
      <c r="M80">
        <v>61277.899545</v>
      </c>
      <c r="N80">
        <v>71617.623135999995</v>
      </c>
      <c r="O80">
        <v>78193.982428999996</v>
      </c>
      <c r="P80">
        <v>103561.62445</v>
      </c>
      <c r="Q80">
        <v>113838.23166</v>
      </c>
      <c r="R80">
        <v>94199.818499999994</v>
      </c>
    </row>
    <row r="81" spans="1:18" x14ac:dyDescent="0.35">
      <c r="A81" t="s">
        <v>144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546.79165</v>
      </c>
      <c r="I81">
        <v>515.45387804999996</v>
      </c>
      <c r="J81">
        <v>469.49242622999998</v>
      </c>
      <c r="K81">
        <v>231.95168182</v>
      </c>
      <c r="L81">
        <v>240.58613636000001</v>
      </c>
      <c r="M81">
        <v>272.08421212000002</v>
      </c>
      <c r="N81">
        <v>329.43150000000003</v>
      </c>
      <c r="O81">
        <v>372.36826189999999</v>
      </c>
      <c r="P81">
        <v>403.73720967999998</v>
      </c>
      <c r="Q81">
        <v>359.18785714000001</v>
      </c>
      <c r="R81">
        <v>219.04788235000001</v>
      </c>
    </row>
    <row r="82" spans="1:18" x14ac:dyDescent="0.35">
      <c r="A82" t="s">
        <v>147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18270.72</v>
      </c>
      <c r="I82">
        <v>15369.804878000001</v>
      </c>
      <c r="J82">
        <v>15387.323541</v>
      </c>
      <c r="K82">
        <v>17883.046909000001</v>
      </c>
      <c r="L82">
        <v>13535.740454000001</v>
      </c>
      <c r="M82">
        <v>13756.29456</v>
      </c>
      <c r="N82">
        <v>12979.158318</v>
      </c>
      <c r="O82">
        <v>12931.494428</v>
      </c>
      <c r="P82">
        <v>12786.464596</v>
      </c>
      <c r="Q82">
        <v>14977.340475999999</v>
      </c>
      <c r="R82">
        <v>8623.3150588000008</v>
      </c>
    </row>
    <row r="83" spans="1:18" x14ac:dyDescent="0.35">
      <c r="A83" t="s">
        <v>151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37214.275249999999</v>
      </c>
      <c r="I83">
        <v>34821.453000000001</v>
      </c>
      <c r="J83">
        <v>33754.586344000003</v>
      </c>
      <c r="K83">
        <v>20505.424727000001</v>
      </c>
      <c r="L83">
        <v>24116.575545</v>
      </c>
      <c r="M83">
        <v>27452.216152000001</v>
      </c>
      <c r="N83">
        <v>24838.040908999999</v>
      </c>
      <c r="O83">
        <v>36664.228761999999</v>
      </c>
      <c r="P83">
        <v>41170.761967999999</v>
      </c>
      <c r="Q83">
        <v>49826.489000000001</v>
      </c>
      <c r="R83">
        <v>31780.618147000001</v>
      </c>
    </row>
    <row r="84" spans="1:18" x14ac:dyDescent="0.35">
      <c r="A84" t="s">
        <v>158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55812.580900000001</v>
      </c>
      <c r="I84">
        <v>60845.359878000003</v>
      </c>
      <c r="J84">
        <v>63521.197902</v>
      </c>
      <c r="K84">
        <v>53519.211908999998</v>
      </c>
      <c r="L84">
        <v>46492.527613999999</v>
      </c>
      <c r="M84">
        <v>45036.046515000002</v>
      </c>
      <c r="N84">
        <v>62261.904181999998</v>
      </c>
      <c r="O84">
        <v>64114.398929000003</v>
      </c>
      <c r="P84">
        <v>59235.308935000001</v>
      </c>
      <c r="Q84">
        <v>67415.768429000003</v>
      </c>
      <c r="R84">
        <v>131112.17047000001</v>
      </c>
    </row>
    <row r="85" spans="1:18" x14ac:dyDescent="0.35">
      <c r="A85" t="s">
        <v>152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380663.30314999999</v>
      </c>
      <c r="I85">
        <v>341830.25423999998</v>
      </c>
      <c r="J85">
        <v>323758.07763999997</v>
      </c>
      <c r="K85">
        <v>202402.97414000001</v>
      </c>
      <c r="L85">
        <v>279229.15645000001</v>
      </c>
      <c r="M85">
        <v>311050.48960999999</v>
      </c>
      <c r="N85">
        <v>411205.30741000001</v>
      </c>
      <c r="O85">
        <v>483502.8651</v>
      </c>
      <c r="P85">
        <v>552600.42752999999</v>
      </c>
      <c r="Q85">
        <v>724019.34828999999</v>
      </c>
      <c r="R85">
        <v>607682.67402999999</v>
      </c>
    </row>
    <row r="86" spans="1:18" x14ac:dyDescent="0.35">
      <c r="A86" t="s">
        <v>153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72951.988249999995</v>
      </c>
      <c r="I86">
        <v>70721.965536999996</v>
      </c>
      <c r="J86">
        <v>63705.792179999997</v>
      </c>
      <c r="K86">
        <v>41271.588135999998</v>
      </c>
      <c r="L86">
        <v>76459.488658999995</v>
      </c>
      <c r="M86">
        <v>75125.263984999998</v>
      </c>
      <c r="N86">
        <v>67772.750818</v>
      </c>
      <c r="O86">
        <v>110621.15257000001</v>
      </c>
      <c r="P86">
        <v>107264.38098</v>
      </c>
      <c r="Q86">
        <v>87642.269381000006</v>
      </c>
      <c r="R86">
        <v>0</v>
      </c>
    </row>
    <row r="87" spans="1:18" x14ac:dyDescent="0.35">
      <c r="A87" t="s">
        <v>464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6637.3382000000001</v>
      </c>
      <c r="I87">
        <v>3719.5923170999999</v>
      </c>
      <c r="J87">
        <v>2599.7783115000002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5">
      <c r="A88" t="s">
        <v>154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143.60395</v>
      </c>
      <c r="I88">
        <v>148.18346341</v>
      </c>
      <c r="J88">
        <v>138.62118032999999</v>
      </c>
      <c r="K88">
        <v>90.388181818000007</v>
      </c>
      <c r="L88">
        <v>94.538931817999995</v>
      </c>
      <c r="M88">
        <v>232.49878788000001</v>
      </c>
      <c r="N88">
        <v>278.14636364</v>
      </c>
      <c r="O88">
        <v>250.31783333000001</v>
      </c>
      <c r="P88">
        <v>261.64296774000002</v>
      </c>
      <c r="Q88">
        <v>153.10828570999999</v>
      </c>
      <c r="R88">
        <v>109.39873529</v>
      </c>
    </row>
    <row r="89" spans="1:18" x14ac:dyDescent="0.35">
      <c r="A89" t="s">
        <v>493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365869.39140000002</v>
      </c>
      <c r="I89">
        <v>312709.14172999997</v>
      </c>
      <c r="J89">
        <v>319322.679</v>
      </c>
      <c r="K89">
        <v>628617.55764000001</v>
      </c>
      <c r="L89">
        <v>559788.36757</v>
      </c>
      <c r="M89">
        <v>501535.52792000002</v>
      </c>
      <c r="N89">
        <v>413020.60868</v>
      </c>
      <c r="O89">
        <v>390916.99063999997</v>
      </c>
      <c r="P89">
        <v>379449.62728999997</v>
      </c>
      <c r="Q89">
        <v>384707.21943</v>
      </c>
      <c r="R89">
        <v>414873.34149999998</v>
      </c>
    </row>
    <row r="90" spans="1:18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110402.09974999999</v>
      </c>
      <c r="I90">
        <v>173861.38529000001</v>
      </c>
      <c r="J90">
        <v>151025.91725</v>
      </c>
      <c r="K90">
        <v>74523.185681999996</v>
      </c>
      <c r="L90">
        <v>100736.00529</v>
      </c>
      <c r="M90">
        <v>135582.45456000001</v>
      </c>
      <c r="N90">
        <v>135053.89694999999</v>
      </c>
      <c r="O90">
        <v>164877.43783000001</v>
      </c>
      <c r="P90">
        <v>186178.12719</v>
      </c>
      <c r="Q90">
        <v>329400.25137999997</v>
      </c>
      <c r="R90">
        <v>211121.22370999999</v>
      </c>
    </row>
    <row r="91" spans="1:18" x14ac:dyDescent="0.35">
      <c r="A91" t="s">
        <v>157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143031.33720000001</v>
      </c>
      <c r="I91">
        <v>136850.77493000001</v>
      </c>
      <c r="J91">
        <v>130208.00363000001</v>
      </c>
      <c r="K91">
        <v>82683.989772999994</v>
      </c>
      <c r="L91">
        <v>94428.757817999998</v>
      </c>
      <c r="M91">
        <v>105776.02757000001</v>
      </c>
      <c r="N91">
        <v>127150.22077</v>
      </c>
      <c r="O91">
        <v>127908.78159</v>
      </c>
      <c r="P91">
        <v>138769.41685000001</v>
      </c>
      <c r="Q91">
        <v>143865.13052000001</v>
      </c>
      <c r="R91">
        <v>150199.78993999999</v>
      </c>
    </row>
    <row r="92" spans="1:18" x14ac:dyDescent="0.35">
      <c r="A92" t="s">
        <v>155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62.977849999999997</v>
      </c>
      <c r="I92">
        <v>53.606390244000004</v>
      </c>
      <c r="J92">
        <v>47.150606557000003</v>
      </c>
      <c r="K92">
        <v>85.343454545</v>
      </c>
      <c r="L92">
        <v>110.51061362999999</v>
      </c>
      <c r="M92">
        <v>107.79154545</v>
      </c>
      <c r="N92">
        <v>57.404227272999997</v>
      </c>
      <c r="O92">
        <v>83.645714286</v>
      </c>
      <c r="P92">
        <v>92.106758064999994</v>
      </c>
      <c r="Q92">
        <v>77.767904762000001</v>
      </c>
      <c r="R92">
        <v>38.862882353000003</v>
      </c>
    </row>
    <row r="93" spans="1:18" x14ac:dyDescent="0.35">
      <c r="A93" t="s">
        <v>156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99.8583</v>
      </c>
      <c r="I93">
        <v>79.343829267999993</v>
      </c>
      <c r="J93">
        <v>67.101540983999996</v>
      </c>
      <c r="K93">
        <v>48.059318181999998</v>
      </c>
      <c r="L93">
        <v>113.28818181</v>
      </c>
      <c r="M93">
        <v>95.721196969999994</v>
      </c>
      <c r="N93">
        <v>65.142318181999997</v>
      </c>
      <c r="O93">
        <v>106.45595238</v>
      </c>
      <c r="P93">
        <v>119.14514516</v>
      </c>
      <c r="Q93">
        <v>149.76595237999999</v>
      </c>
      <c r="R93">
        <v>51.644941176000003</v>
      </c>
    </row>
    <row r="94" spans="1:18" x14ac:dyDescent="0.35">
      <c r="A94" t="s">
        <v>159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1558.15265</v>
      </c>
      <c r="I94">
        <v>1538.0893659000001</v>
      </c>
      <c r="J94">
        <v>1427.5158524999999</v>
      </c>
      <c r="K94">
        <v>1057.0480454999999</v>
      </c>
      <c r="L94">
        <v>952.22788635999996</v>
      </c>
      <c r="M94">
        <v>846.37304544999995</v>
      </c>
      <c r="N94">
        <v>540.75886363999996</v>
      </c>
      <c r="O94">
        <v>693.74714286000005</v>
      </c>
      <c r="P94">
        <v>600.30904839000004</v>
      </c>
      <c r="Q94">
        <v>427.14819047999998</v>
      </c>
      <c r="R94">
        <v>876.93444118000002</v>
      </c>
    </row>
    <row r="95" spans="1:18" x14ac:dyDescent="0.35">
      <c r="A95" t="s">
        <v>160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55.076349999999998</v>
      </c>
      <c r="I95">
        <v>88.350073171000005</v>
      </c>
      <c r="J95">
        <v>70.576196721000002</v>
      </c>
      <c r="K95">
        <v>33.703909091</v>
      </c>
      <c r="L95">
        <v>195.65227272999999</v>
      </c>
      <c r="M95">
        <v>144.92416667000001</v>
      </c>
      <c r="N95">
        <v>36.084727272999999</v>
      </c>
      <c r="O95">
        <v>37.981023810000003</v>
      </c>
      <c r="P95">
        <v>40.698112903000002</v>
      </c>
      <c r="Q95">
        <v>39.253761904999998</v>
      </c>
      <c r="R95">
        <v>112.19038234999999</v>
      </c>
    </row>
    <row r="96" spans="1:18" x14ac:dyDescent="0.35">
      <c r="A96" t="s">
        <v>161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0.81799999999999995</v>
      </c>
      <c r="I96">
        <v>0.39902439024000003</v>
      </c>
      <c r="J96">
        <v>0.26819672131</v>
      </c>
      <c r="K96">
        <v>5.8727272726999999E-2</v>
      </c>
      <c r="L96">
        <v>4.3568181817999999E-2</v>
      </c>
      <c r="M96">
        <v>2.9045454544999998E-2</v>
      </c>
      <c r="N96">
        <v>2.8409090909000002E-2</v>
      </c>
      <c r="O96">
        <v>0.76821428571000006</v>
      </c>
      <c r="P96">
        <v>1.8211129032</v>
      </c>
      <c r="Q96">
        <v>4.0695238094999997</v>
      </c>
      <c r="R96">
        <v>2.9088235293999998E-2</v>
      </c>
    </row>
    <row r="97" spans="1:18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310760.55209999997</v>
      </c>
      <c r="I97">
        <v>295015.26432000002</v>
      </c>
      <c r="J97">
        <v>293018.54233999999</v>
      </c>
      <c r="K97">
        <v>190825.86905000001</v>
      </c>
      <c r="L97">
        <v>215654.62948</v>
      </c>
      <c r="M97">
        <v>218402.28094</v>
      </c>
      <c r="N97">
        <v>387933.39445000002</v>
      </c>
      <c r="O97">
        <v>382623.00081</v>
      </c>
      <c r="P97">
        <v>360360.25965999998</v>
      </c>
      <c r="Q97">
        <v>271010.39237999998</v>
      </c>
      <c r="R97">
        <v>290721.77568000002</v>
      </c>
    </row>
    <row r="98" spans="1:18" x14ac:dyDescent="0.35">
      <c r="A98" t="s">
        <v>162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601.26004999999998</v>
      </c>
      <c r="I98">
        <v>914.83956097999999</v>
      </c>
      <c r="J98">
        <v>1008.8305082000001</v>
      </c>
      <c r="K98">
        <v>761.21959090999997</v>
      </c>
      <c r="L98">
        <v>652.23152273000005</v>
      </c>
      <c r="M98">
        <v>638.91612121000003</v>
      </c>
      <c r="N98">
        <v>578.86381817999995</v>
      </c>
      <c r="O98">
        <v>626.28623809999999</v>
      </c>
      <c r="P98">
        <v>654.73898386999997</v>
      </c>
      <c r="Q98">
        <v>629.68271429000004</v>
      </c>
      <c r="R98">
        <v>1548.7902941</v>
      </c>
    </row>
    <row r="99" spans="1:18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6354.8845499999998</v>
      </c>
      <c r="I99">
        <v>6649.0388049000003</v>
      </c>
      <c r="J99">
        <v>5956.2627212999996</v>
      </c>
      <c r="K99">
        <v>4117.4745000000003</v>
      </c>
      <c r="L99">
        <v>4419.0040681999999</v>
      </c>
      <c r="M99">
        <v>4080.7855</v>
      </c>
      <c r="N99">
        <v>6508.4588635999999</v>
      </c>
      <c r="O99">
        <v>8362.1152380999993</v>
      </c>
      <c r="P99">
        <v>7772.3177257999996</v>
      </c>
      <c r="Q99">
        <v>4914.4048571000003</v>
      </c>
      <c r="R99">
        <v>3966.5209411999999</v>
      </c>
    </row>
    <row r="100" spans="1:18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31085.919900000001</v>
      </c>
      <c r="I100">
        <v>25960.822706999999</v>
      </c>
      <c r="J100">
        <v>22178.701294999999</v>
      </c>
      <c r="K100">
        <v>12364.230409</v>
      </c>
      <c r="L100">
        <v>17001.601659</v>
      </c>
      <c r="M100">
        <v>17895.321455000001</v>
      </c>
      <c r="N100">
        <v>22715.690635999999</v>
      </c>
      <c r="O100">
        <v>27575.962357</v>
      </c>
      <c r="P100">
        <v>28806.682387000001</v>
      </c>
      <c r="Q100">
        <v>33488.223904999999</v>
      </c>
      <c r="R100">
        <v>21090.490559000002</v>
      </c>
    </row>
    <row r="101" spans="1:18" x14ac:dyDescent="0.35">
      <c r="A101" t="s">
        <v>465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5">
      <c r="A102" t="s">
        <v>163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1.5182</v>
      </c>
      <c r="I102">
        <v>3.531804878</v>
      </c>
      <c r="J102">
        <v>2.8069508196999999</v>
      </c>
      <c r="K102">
        <v>1.2218636364</v>
      </c>
      <c r="L102">
        <v>1.6615909091000001</v>
      </c>
      <c r="M102">
        <v>1.7000909091</v>
      </c>
      <c r="N102">
        <v>2.0187272727000001</v>
      </c>
      <c r="O102">
        <v>5.7445000000000004</v>
      </c>
      <c r="P102">
        <v>7.7796451613000004</v>
      </c>
      <c r="Q102">
        <v>11.597714285</v>
      </c>
      <c r="R102">
        <v>3.5878529412</v>
      </c>
    </row>
    <row r="103" spans="1:18" x14ac:dyDescent="0.35">
      <c r="A103" t="s">
        <v>164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3599.6774</v>
      </c>
      <c r="I103">
        <v>4103.2529756000004</v>
      </c>
      <c r="J103">
        <v>3800.6860820000002</v>
      </c>
      <c r="K103">
        <v>3240.1106817999998</v>
      </c>
      <c r="L103">
        <v>3491.8010227</v>
      </c>
      <c r="M103">
        <v>3453.2293939000001</v>
      </c>
      <c r="N103">
        <v>3531.4716818000002</v>
      </c>
      <c r="O103">
        <v>4573.7500475999996</v>
      </c>
      <c r="P103">
        <v>4661.2055968000004</v>
      </c>
      <c r="Q103">
        <v>7247.7525714000003</v>
      </c>
      <c r="R103">
        <v>4704.1659411999999</v>
      </c>
    </row>
    <row r="104" spans="1:18" x14ac:dyDescent="0.35">
      <c r="A104" t="s">
        <v>165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3.6286</v>
      </c>
      <c r="I104">
        <v>21.774634146</v>
      </c>
      <c r="J104">
        <v>25.312278688999999</v>
      </c>
      <c r="K104">
        <v>16.52</v>
      </c>
      <c r="L104">
        <v>30.355863635999999</v>
      </c>
      <c r="M104">
        <v>25.526257575999999</v>
      </c>
      <c r="N104">
        <v>16.347136364000001</v>
      </c>
      <c r="O104">
        <v>24.233404761999999</v>
      </c>
      <c r="P104">
        <v>22.681580645</v>
      </c>
      <c r="Q104">
        <v>3.3779523810000001</v>
      </c>
      <c r="R104">
        <v>2.5838235294</v>
      </c>
    </row>
    <row r="105" spans="1:18" x14ac:dyDescent="0.35">
      <c r="A105" t="s">
        <v>261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1853.2414000000001</v>
      </c>
      <c r="I105">
        <v>1679.2860244000001</v>
      </c>
      <c r="J105">
        <v>1380.198459</v>
      </c>
      <c r="K105">
        <v>1005.0548636</v>
      </c>
      <c r="L105">
        <v>1473.7771364</v>
      </c>
      <c r="M105">
        <v>1384.4145758</v>
      </c>
      <c r="N105">
        <v>1398.4392273000001</v>
      </c>
      <c r="O105">
        <v>2536.4073570999999</v>
      </c>
      <c r="P105">
        <v>2635.5821612999998</v>
      </c>
      <c r="Q105">
        <v>2290.5166666999999</v>
      </c>
      <c r="R105">
        <v>5244.4585588</v>
      </c>
    </row>
    <row r="106" spans="1:18" x14ac:dyDescent="0.35">
      <c r="A106" t="s">
        <v>166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37764.70175</v>
      </c>
      <c r="I106">
        <v>37332.857072999999</v>
      </c>
      <c r="J106">
        <v>36539.808311000001</v>
      </c>
      <c r="K106">
        <v>52730.808136</v>
      </c>
      <c r="L106">
        <v>46865.584636</v>
      </c>
      <c r="M106">
        <v>51238.759288000001</v>
      </c>
      <c r="N106">
        <v>61868.472954999997</v>
      </c>
      <c r="O106">
        <v>59810.373476000001</v>
      </c>
      <c r="P106">
        <v>53335.425661000001</v>
      </c>
      <c r="Q106">
        <v>51245.094904999998</v>
      </c>
      <c r="R106">
        <v>52125.262999999999</v>
      </c>
    </row>
    <row r="107" spans="1:18" x14ac:dyDescent="0.35">
      <c r="A107" t="s">
        <v>167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7960.3469500000001</v>
      </c>
      <c r="I107">
        <v>10403.384561000001</v>
      </c>
      <c r="J107">
        <v>10330.094147</v>
      </c>
      <c r="K107">
        <v>16986.169955000001</v>
      </c>
      <c r="L107">
        <v>14700.695089999999</v>
      </c>
      <c r="M107">
        <v>12730.633318</v>
      </c>
      <c r="N107">
        <v>8373.1632726999997</v>
      </c>
      <c r="O107">
        <v>9372</v>
      </c>
      <c r="P107">
        <v>9422.4551935</v>
      </c>
      <c r="Q107">
        <v>7315.2479047999996</v>
      </c>
      <c r="R107">
        <v>5807.5559706000004</v>
      </c>
    </row>
    <row r="108" spans="1:18" x14ac:dyDescent="0.35">
      <c r="A108" t="s">
        <v>169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6.8779500000000002</v>
      </c>
      <c r="I108">
        <v>11.39102439</v>
      </c>
      <c r="J108">
        <v>14.620868851999999</v>
      </c>
      <c r="K108">
        <v>11.589227272</v>
      </c>
      <c r="L108">
        <v>17.97475</v>
      </c>
      <c r="M108">
        <v>21.452439393999999</v>
      </c>
      <c r="N108">
        <v>5.8560909090999997</v>
      </c>
      <c r="O108">
        <v>19.487523809999999</v>
      </c>
      <c r="P108">
        <v>29.466516128999999</v>
      </c>
      <c r="Q108">
        <v>23.780857142999999</v>
      </c>
      <c r="R108">
        <v>8.1095294118000005</v>
      </c>
    </row>
    <row r="109" spans="1:18" x14ac:dyDescent="0.35">
      <c r="A109" t="s">
        <v>168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19493.4139</v>
      </c>
      <c r="I109">
        <v>12781.159243</v>
      </c>
      <c r="J109">
        <v>11574.337475</v>
      </c>
      <c r="K109">
        <v>4997.4333636000001</v>
      </c>
      <c r="L109">
        <v>4724.1642954999998</v>
      </c>
      <c r="M109">
        <v>5425.7652423999998</v>
      </c>
      <c r="N109">
        <v>5199.2814091</v>
      </c>
      <c r="O109">
        <v>4833.6656666999997</v>
      </c>
      <c r="P109">
        <v>4131.6162096999997</v>
      </c>
      <c r="Q109">
        <v>2341.0768570999999</v>
      </c>
      <c r="R109">
        <v>2152.8397940999998</v>
      </c>
    </row>
    <row r="110" spans="1:18" x14ac:dyDescent="0.35">
      <c r="A110" t="s">
        <v>170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211215.6341</v>
      </c>
      <c r="I110">
        <v>191371.87517000001</v>
      </c>
      <c r="J110">
        <v>194422.41052</v>
      </c>
      <c r="K110">
        <v>155216.13709</v>
      </c>
      <c r="L110">
        <v>150570.26152</v>
      </c>
      <c r="M110">
        <v>145953.43286</v>
      </c>
      <c r="N110">
        <v>202180.14986</v>
      </c>
      <c r="O110">
        <v>190436.63735999999</v>
      </c>
      <c r="P110">
        <v>193895.41425999999</v>
      </c>
      <c r="Q110">
        <v>238684.07800000001</v>
      </c>
      <c r="R110">
        <v>205183.29702999999</v>
      </c>
    </row>
    <row r="111" spans="1:18" x14ac:dyDescent="0.35">
      <c r="A111" t="s">
        <v>172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34535.436450000001</v>
      </c>
      <c r="I111">
        <v>57465.667390000002</v>
      </c>
      <c r="J111">
        <v>52192.979115000002</v>
      </c>
      <c r="K111">
        <v>43180.107817999997</v>
      </c>
      <c r="L111">
        <v>41980.673045000003</v>
      </c>
      <c r="M111">
        <v>38563.351893999999</v>
      </c>
      <c r="N111">
        <v>48670.406181999999</v>
      </c>
      <c r="O111">
        <v>52289.981929000001</v>
      </c>
      <c r="P111">
        <v>57356.995016000001</v>
      </c>
      <c r="Q111">
        <v>50339.219571000001</v>
      </c>
      <c r="R111">
        <v>40299.079734999999</v>
      </c>
    </row>
    <row r="112" spans="1:18" x14ac:dyDescent="0.35">
      <c r="A112" t="s">
        <v>175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32907.422599999998</v>
      </c>
      <c r="I112">
        <v>27975.318267999999</v>
      </c>
      <c r="J112">
        <v>27785.629851999998</v>
      </c>
      <c r="K112">
        <v>28082.107227</v>
      </c>
      <c r="L112">
        <v>29224.955386000001</v>
      </c>
      <c r="M112">
        <v>30541.072045000001</v>
      </c>
      <c r="N112">
        <v>24652.887136000001</v>
      </c>
      <c r="O112">
        <v>40143.214785999997</v>
      </c>
      <c r="P112">
        <v>41152.710694000001</v>
      </c>
      <c r="Q112">
        <v>44498.18</v>
      </c>
      <c r="R112">
        <v>19994.617824000001</v>
      </c>
    </row>
    <row r="113" spans="1:18" x14ac:dyDescent="0.35">
      <c r="A113" t="s">
        <v>171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127324.79549999999</v>
      </c>
      <c r="I113">
        <v>97069.130072999993</v>
      </c>
      <c r="J113">
        <v>90269.835984000005</v>
      </c>
      <c r="K113">
        <v>57581.719727000003</v>
      </c>
      <c r="L113">
        <v>55734.073273000002</v>
      </c>
      <c r="M113">
        <v>55943.050485</v>
      </c>
      <c r="N113">
        <v>67754.758182000005</v>
      </c>
      <c r="O113">
        <v>66299.511643000005</v>
      </c>
      <c r="P113">
        <v>64210.529951999997</v>
      </c>
      <c r="Q113">
        <v>104063.53509</v>
      </c>
      <c r="R113">
        <v>73460.832058999993</v>
      </c>
    </row>
    <row r="114" spans="1:18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20674.413608999999</v>
      </c>
      <c r="I114">
        <v>23101.658858999999</v>
      </c>
      <c r="J114">
        <v>20536.831313999999</v>
      </c>
      <c r="K114">
        <v>20847.146803</v>
      </c>
      <c r="L114">
        <v>20561.073945</v>
      </c>
      <c r="M114">
        <v>21614.308077000002</v>
      </c>
      <c r="N114">
        <v>29742.689577000001</v>
      </c>
      <c r="O114">
        <v>34849.081471999998</v>
      </c>
      <c r="P114">
        <v>32791.973527000002</v>
      </c>
      <c r="Q114">
        <v>37587.836282999997</v>
      </c>
      <c r="R114">
        <v>39497.598614000002</v>
      </c>
    </row>
    <row r="115" spans="1:18" x14ac:dyDescent="0.35">
      <c r="A115" t="s">
        <v>174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14324.25045</v>
      </c>
      <c r="I115">
        <v>14094.573146000001</v>
      </c>
      <c r="J115">
        <v>14464.781573</v>
      </c>
      <c r="K115">
        <v>12676.817772</v>
      </c>
      <c r="L115">
        <v>12303.827363</v>
      </c>
      <c r="M115">
        <v>10905.512377999999</v>
      </c>
      <c r="N115">
        <v>26886.019182</v>
      </c>
      <c r="O115">
        <v>26678.097952</v>
      </c>
      <c r="P115">
        <v>28585.431323000001</v>
      </c>
      <c r="Q115">
        <v>16473.584857000002</v>
      </c>
      <c r="R115">
        <v>10785.610117</v>
      </c>
    </row>
    <row r="116" spans="1:18" x14ac:dyDescent="0.35">
      <c r="A116" t="s">
        <v>499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13035.65725</v>
      </c>
      <c r="I116">
        <v>11503.494511999999</v>
      </c>
      <c r="J116">
        <v>9681.1672295000008</v>
      </c>
      <c r="K116">
        <v>5904.1364090999996</v>
      </c>
      <c r="L116">
        <v>7089.1105908999998</v>
      </c>
      <c r="M116">
        <v>7805.0032121000004</v>
      </c>
      <c r="N116">
        <v>12327.33059</v>
      </c>
      <c r="O116">
        <v>14128.644738000001</v>
      </c>
      <c r="P116">
        <v>20607.297274</v>
      </c>
      <c r="Q116">
        <v>21420.109762</v>
      </c>
      <c r="R116">
        <v>9768.5331176</v>
      </c>
    </row>
    <row r="117" spans="1:18" x14ac:dyDescent="0.35">
      <c r="A117" t="s">
        <v>177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160718.5099</v>
      </c>
      <c r="I117">
        <v>198644.16183</v>
      </c>
      <c r="J117">
        <v>202346.03044</v>
      </c>
      <c r="K117">
        <v>142678.76035999999</v>
      </c>
      <c r="L117">
        <v>163204.29454999999</v>
      </c>
      <c r="M117">
        <v>160549.09726000001</v>
      </c>
      <c r="N117">
        <v>115560.41267999999</v>
      </c>
      <c r="O117">
        <v>222966.84202000001</v>
      </c>
      <c r="P117">
        <v>193411.95895</v>
      </c>
      <c r="Q117">
        <v>119690.50195000001</v>
      </c>
      <c r="R117">
        <v>59595.942618000001</v>
      </c>
    </row>
    <row r="118" spans="1:18" x14ac:dyDescent="0.35">
      <c r="A118" t="s">
        <v>178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1270.1960999999999</v>
      </c>
      <c r="I118">
        <v>1210.0542195</v>
      </c>
      <c r="J118">
        <v>1229.4204098</v>
      </c>
      <c r="K118">
        <v>1168.9872726999999</v>
      </c>
      <c r="L118">
        <v>1280.7352045</v>
      </c>
      <c r="M118">
        <v>1630.9104090999999</v>
      </c>
      <c r="N118">
        <v>2229.8102727</v>
      </c>
      <c r="O118">
        <v>1859.3732143</v>
      </c>
      <c r="P118">
        <v>2062.1452419000002</v>
      </c>
      <c r="Q118">
        <v>1584.9794285999999</v>
      </c>
      <c r="R118">
        <v>1554.4990882</v>
      </c>
    </row>
    <row r="119" spans="1:18" x14ac:dyDescent="0.35">
      <c r="A119" t="s">
        <v>466</v>
      </c>
      <c r="H119">
        <v>895.90509999999995</v>
      </c>
      <c r="I119">
        <v>437.02687804999999</v>
      </c>
      <c r="J119">
        <v>293.73937704999997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11977.2575</v>
      </c>
      <c r="I120">
        <v>13864.384389999999</v>
      </c>
      <c r="J120">
        <v>12843.506426</v>
      </c>
      <c r="K120">
        <v>9445.1030909000001</v>
      </c>
      <c r="L120">
        <v>11706.32584</v>
      </c>
      <c r="M120">
        <v>10461.075833000001</v>
      </c>
      <c r="N120">
        <v>14634.483362999999</v>
      </c>
      <c r="O120">
        <v>13336.830094999999</v>
      </c>
      <c r="P120">
        <v>13272.625435</v>
      </c>
      <c r="Q120">
        <v>9970.5169523999994</v>
      </c>
      <c r="R120">
        <v>4388.8174117999997</v>
      </c>
    </row>
    <row r="121" spans="1:18" x14ac:dyDescent="0.35">
      <c r="A121" t="s">
        <v>179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72717.651750000005</v>
      </c>
      <c r="I121">
        <v>72992.473463000002</v>
      </c>
      <c r="J121">
        <v>80376.444606999998</v>
      </c>
      <c r="K121">
        <v>66014.214726999999</v>
      </c>
      <c r="L121">
        <v>71576.062659000003</v>
      </c>
      <c r="M121">
        <v>64576.631606000003</v>
      </c>
      <c r="N121">
        <v>67837.974499999997</v>
      </c>
      <c r="O121">
        <v>61737.581714</v>
      </c>
      <c r="P121">
        <v>63765.010710000002</v>
      </c>
      <c r="Q121">
        <v>61981.522190000003</v>
      </c>
      <c r="R121">
        <v>59142.425765</v>
      </c>
    </row>
    <row r="122" spans="1:18" x14ac:dyDescent="0.35">
      <c r="A122" t="s">
        <v>180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50477.458500000001</v>
      </c>
      <c r="I122">
        <v>57718.512243999998</v>
      </c>
      <c r="J122">
        <v>61232.598951</v>
      </c>
      <c r="K122">
        <v>50792.770090999999</v>
      </c>
      <c r="L122">
        <v>53591.436613999998</v>
      </c>
      <c r="M122">
        <v>52810.836711999997</v>
      </c>
      <c r="N122">
        <v>43428.638136000001</v>
      </c>
      <c r="O122">
        <v>47348.373856999999</v>
      </c>
      <c r="P122">
        <v>53104.695660999998</v>
      </c>
      <c r="Q122">
        <v>63848.541381000003</v>
      </c>
      <c r="R122">
        <v>47252.022676000001</v>
      </c>
    </row>
    <row r="123" spans="1:18" x14ac:dyDescent="0.35">
      <c r="A123" t="s">
        <v>181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34303.1607</v>
      </c>
      <c r="I123">
        <v>34750.488829000002</v>
      </c>
      <c r="J123">
        <v>35553.435474999998</v>
      </c>
      <c r="K123">
        <v>31055.970955000001</v>
      </c>
      <c r="L123">
        <v>28478.619455</v>
      </c>
      <c r="M123">
        <v>28281.908514999999</v>
      </c>
      <c r="N123">
        <v>25698.959590999999</v>
      </c>
      <c r="O123">
        <v>26048.347548000002</v>
      </c>
      <c r="P123">
        <v>28830.589467999998</v>
      </c>
      <c r="Q123">
        <v>19223.111142999998</v>
      </c>
      <c r="R123">
        <v>21951.997382000001</v>
      </c>
    </row>
    <row r="124" spans="1:18" x14ac:dyDescent="0.35">
      <c r="A124" t="s">
        <v>183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62198.424650000001</v>
      </c>
      <c r="I124">
        <v>61164.951902000001</v>
      </c>
      <c r="J124">
        <v>54939.014950999997</v>
      </c>
      <c r="K124">
        <v>26854.077727</v>
      </c>
      <c r="L124">
        <v>31667.156341000002</v>
      </c>
      <c r="M124">
        <v>31722.697121000001</v>
      </c>
      <c r="N124">
        <v>31810.293364000001</v>
      </c>
      <c r="O124">
        <v>35554.006286000003</v>
      </c>
      <c r="P124">
        <v>37564.844806000001</v>
      </c>
      <c r="Q124">
        <v>50729.144332999997</v>
      </c>
      <c r="R124">
        <v>25519.855324</v>
      </c>
    </row>
    <row r="125" spans="1:18" x14ac:dyDescent="0.35">
      <c r="A125" t="s">
        <v>184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50794.160250000001</v>
      </c>
      <c r="I125">
        <v>49235.633292999999</v>
      </c>
      <c r="J125">
        <v>45572.759393</v>
      </c>
      <c r="K125">
        <v>31288.378045000001</v>
      </c>
      <c r="L125">
        <v>39538.441545000001</v>
      </c>
      <c r="M125">
        <v>42188.029908999997</v>
      </c>
      <c r="N125">
        <v>59009.777409000002</v>
      </c>
      <c r="O125">
        <v>52235.444190000002</v>
      </c>
      <c r="P125">
        <v>55187.366532</v>
      </c>
      <c r="Q125">
        <v>52136.599238000003</v>
      </c>
      <c r="R125">
        <v>99428.095117999997</v>
      </c>
    </row>
    <row r="126" spans="1:18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320619.84505</v>
      </c>
      <c r="I126">
        <v>343490.85272999998</v>
      </c>
      <c r="J126">
        <v>322340.37641000003</v>
      </c>
      <c r="K126">
        <v>207266.40294999999</v>
      </c>
      <c r="L126">
        <v>232878.91118</v>
      </c>
      <c r="M126">
        <v>228042.92429</v>
      </c>
      <c r="N126">
        <v>233372.92368000001</v>
      </c>
      <c r="O126">
        <v>285518.94154999999</v>
      </c>
      <c r="P126">
        <v>318541.39675999997</v>
      </c>
      <c r="Q126">
        <v>427041.01652</v>
      </c>
      <c r="R126">
        <v>256565.72476000001</v>
      </c>
    </row>
    <row r="127" spans="1:18" x14ac:dyDescent="0.35">
      <c r="A127" t="s">
        <v>185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15576.204449999999</v>
      </c>
      <c r="I127">
        <v>20524.779659</v>
      </c>
      <c r="J127">
        <v>19321.676787</v>
      </c>
      <c r="K127">
        <v>15215.96859</v>
      </c>
      <c r="L127">
        <v>18281.538522999999</v>
      </c>
      <c r="M127">
        <v>18656.844333000001</v>
      </c>
      <c r="N127">
        <v>17214.991136000001</v>
      </c>
      <c r="O127">
        <v>23166.650167</v>
      </c>
      <c r="P127">
        <v>31253.922274</v>
      </c>
      <c r="Q127">
        <v>43750.071237999997</v>
      </c>
      <c r="R127">
        <v>79406.946706000002</v>
      </c>
    </row>
    <row r="128" spans="1:18" x14ac:dyDescent="0.35">
      <c r="A128" t="s">
        <v>186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876569.2267</v>
      </c>
      <c r="I128">
        <v>877819.70449000003</v>
      </c>
      <c r="J128">
        <v>831232.67746000004</v>
      </c>
      <c r="K128">
        <v>732156.13182000001</v>
      </c>
      <c r="L128">
        <v>805594.74922999996</v>
      </c>
      <c r="M128">
        <v>770072.03859000001</v>
      </c>
      <c r="N128">
        <v>624458.53272999998</v>
      </c>
      <c r="O128">
        <v>800785.29926</v>
      </c>
      <c r="P128">
        <v>824163.30117999995</v>
      </c>
      <c r="Q128">
        <v>1079916.9269000001</v>
      </c>
      <c r="R128">
        <v>882425.14125999995</v>
      </c>
    </row>
    <row r="129" spans="1:18" x14ac:dyDescent="0.35">
      <c r="A129" t="s">
        <v>187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1784.4155499999999</v>
      </c>
      <c r="I129">
        <v>2002.7820732</v>
      </c>
      <c r="J129">
        <v>2041.6443279</v>
      </c>
      <c r="K129">
        <v>2407.9966817999998</v>
      </c>
      <c r="L129">
        <v>2781.1624772999999</v>
      </c>
      <c r="M129">
        <v>2706.1605</v>
      </c>
      <c r="N129">
        <v>3593.1179090999999</v>
      </c>
      <c r="O129">
        <v>3270.3658571000001</v>
      </c>
      <c r="P129">
        <v>3158.2225644999999</v>
      </c>
      <c r="Q129">
        <v>3646.8215237999998</v>
      </c>
      <c r="R129">
        <v>2252.9957940999998</v>
      </c>
    </row>
    <row r="130" spans="1:18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456711.41960000002</v>
      </c>
      <c r="I130">
        <v>560820.58646000002</v>
      </c>
      <c r="J130">
        <v>488076.07192000002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5">
      <c r="A131" t="s">
        <v>188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24133.368600000002</v>
      </c>
      <c r="I131">
        <v>21574.387462999999</v>
      </c>
      <c r="J131">
        <v>19237.975246000002</v>
      </c>
      <c r="K131">
        <v>12320.560681000001</v>
      </c>
      <c r="L131">
        <v>13617.901454000001</v>
      </c>
      <c r="M131">
        <v>20042.007030000001</v>
      </c>
      <c r="N131">
        <v>18610.026454999999</v>
      </c>
      <c r="O131">
        <v>21795.801810000001</v>
      </c>
      <c r="P131">
        <v>24517.076806000001</v>
      </c>
      <c r="Q131">
        <v>43749.094333000001</v>
      </c>
      <c r="R131">
        <v>35304.216205999997</v>
      </c>
    </row>
    <row r="132" spans="1:18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3657.9776499999998</v>
      </c>
      <c r="I132">
        <v>3576.3416828999998</v>
      </c>
      <c r="J132">
        <v>3662.4860328</v>
      </c>
      <c r="K132">
        <v>2184.0303181999998</v>
      </c>
      <c r="L132">
        <v>2645.5786818000001</v>
      </c>
      <c r="M132">
        <v>2740.6071514999999</v>
      </c>
      <c r="N132">
        <v>3880.8167727</v>
      </c>
      <c r="O132">
        <v>4444.5447856999999</v>
      </c>
      <c r="P132">
        <v>6107.6060968000002</v>
      </c>
      <c r="Q132">
        <v>6989.7412381000004</v>
      </c>
      <c r="R132">
        <v>4578.7587941000002</v>
      </c>
    </row>
    <row r="133" spans="1:18" x14ac:dyDescent="0.35">
      <c r="A133" t="s">
        <v>189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15188.330400000001</v>
      </c>
      <c r="I133">
        <v>13297.967000000001</v>
      </c>
      <c r="J133">
        <v>11798.043294999999</v>
      </c>
      <c r="K133">
        <v>8483.0018636000004</v>
      </c>
      <c r="L133">
        <v>9003.3868636000007</v>
      </c>
      <c r="M133">
        <v>8738.1372878999991</v>
      </c>
      <c r="N133">
        <v>10940.207818000001</v>
      </c>
      <c r="O133">
        <v>23009.741451999998</v>
      </c>
      <c r="P133">
        <v>21869.048193999999</v>
      </c>
      <c r="Q133">
        <v>21790.296524000001</v>
      </c>
      <c r="R133">
        <v>5601.0427940999998</v>
      </c>
    </row>
    <row r="134" spans="1:18" x14ac:dyDescent="0.35">
      <c r="A134" t="s">
        <v>190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117553.1658</v>
      </c>
      <c r="I134">
        <v>107071.53856</v>
      </c>
      <c r="J134">
        <v>104291.36031</v>
      </c>
      <c r="K134">
        <v>81013.121954999995</v>
      </c>
      <c r="L134">
        <v>78471.174045000007</v>
      </c>
      <c r="M134">
        <v>84111.397333000001</v>
      </c>
      <c r="N134">
        <v>98412.383455000003</v>
      </c>
      <c r="O134">
        <v>94303.721548000001</v>
      </c>
      <c r="P134">
        <v>103651.39801</v>
      </c>
      <c r="Q134">
        <v>99908.293571000002</v>
      </c>
      <c r="R134">
        <v>82132.150234999994</v>
      </c>
    </row>
    <row r="135" spans="1:18" x14ac:dyDescent="0.35">
      <c r="A135" t="s">
        <v>467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41.409399999999998</v>
      </c>
      <c r="I135">
        <v>20.199707317000001</v>
      </c>
      <c r="J135">
        <v>13.576852458999999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5">
      <c r="A136" t="s">
        <v>191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9181.2199999999993</v>
      </c>
      <c r="I136">
        <v>8796.9317804999991</v>
      </c>
      <c r="J136">
        <v>7889.8201967000005</v>
      </c>
      <c r="K136">
        <v>5153.0941818000001</v>
      </c>
      <c r="L136">
        <v>5192.7724773</v>
      </c>
      <c r="M136">
        <v>6628.9435303</v>
      </c>
      <c r="N136">
        <v>8374.0643182000003</v>
      </c>
      <c r="O136">
        <v>7786.5546189999995</v>
      </c>
      <c r="P136">
        <v>8099.1621936000001</v>
      </c>
      <c r="Q136">
        <v>10311.676332999999</v>
      </c>
      <c r="R136">
        <v>5596.7029118</v>
      </c>
    </row>
    <row r="137" spans="1:18" x14ac:dyDescent="0.35">
      <c r="A137" t="s">
        <v>204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11082.29905</v>
      </c>
      <c r="I137">
        <v>11829.379951000001</v>
      </c>
      <c r="J137">
        <v>10305.322114000001</v>
      </c>
      <c r="K137">
        <v>6227.8403636000003</v>
      </c>
      <c r="L137">
        <v>6567.9411590999998</v>
      </c>
      <c r="M137">
        <v>6763.8827424000001</v>
      </c>
      <c r="N137">
        <v>7701.5940455</v>
      </c>
      <c r="O137">
        <v>11115.755714000001</v>
      </c>
      <c r="P137">
        <v>10572.533337999999</v>
      </c>
      <c r="Q137">
        <v>11462.820094999999</v>
      </c>
      <c r="R137">
        <v>8061.4378528999996</v>
      </c>
    </row>
    <row r="138" spans="1:18" x14ac:dyDescent="0.35">
      <c r="A138" t="s">
        <v>468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5">
      <c r="A139" t="s">
        <v>229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7835.5160999999998</v>
      </c>
      <c r="I139">
        <v>9245.0470731999994</v>
      </c>
      <c r="J139">
        <v>8165.2512131000003</v>
      </c>
      <c r="K139">
        <v>3885.1142727000001</v>
      </c>
      <c r="L139">
        <v>4348.1526818000002</v>
      </c>
      <c r="M139">
        <v>5167.0787424</v>
      </c>
      <c r="N139">
        <v>6413.8404545000003</v>
      </c>
      <c r="O139">
        <v>6117.8188571000001</v>
      </c>
      <c r="P139">
        <v>5908.0526935999997</v>
      </c>
      <c r="Q139">
        <v>6004.3153333</v>
      </c>
      <c r="R139">
        <v>2413.0038823999998</v>
      </c>
    </row>
    <row r="140" spans="1:18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4384.4763000000003</v>
      </c>
      <c r="I140">
        <v>4910.9757073000001</v>
      </c>
      <c r="J140">
        <v>4816.4653279000004</v>
      </c>
      <c r="K140">
        <v>4591.1965909</v>
      </c>
      <c r="L140">
        <v>5646.3175000000001</v>
      </c>
      <c r="M140">
        <v>6134.7205000000004</v>
      </c>
      <c r="N140">
        <v>6084.7962727000004</v>
      </c>
      <c r="O140">
        <v>8999.8037143000001</v>
      </c>
      <c r="P140">
        <v>9861.3675968000007</v>
      </c>
      <c r="Q140">
        <v>10057.319809000001</v>
      </c>
      <c r="R140">
        <v>10427.524294000001</v>
      </c>
    </row>
    <row r="141" spans="1:18" x14ac:dyDescent="0.35">
      <c r="A141" t="s">
        <v>193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494.69125000000003</v>
      </c>
      <c r="I141">
        <v>433.52585366</v>
      </c>
      <c r="J141">
        <v>395.15295082</v>
      </c>
      <c r="K141">
        <v>465.46281818</v>
      </c>
      <c r="L141">
        <v>380.18045454999998</v>
      </c>
      <c r="M141">
        <v>464.57499999999999</v>
      </c>
      <c r="N141">
        <v>934.82440909000002</v>
      </c>
      <c r="O141">
        <v>988.67873810000003</v>
      </c>
      <c r="P141">
        <v>1177.1149355</v>
      </c>
      <c r="Q141">
        <v>1056.8618571</v>
      </c>
      <c r="R141">
        <v>425.12029411999998</v>
      </c>
    </row>
    <row r="142" spans="1:18" x14ac:dyDescent="0.35">
      <c r="A142" t="s">
        <v>194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120.6313</v>
      </c>
      <c r="I142">
        <v>241.6402439</v>
      </c>
      <c r="J142">
        <v>199.81729508000001</v>
      </c>
      <c r="K142">
        <v>170.41104544999999</v>
      </c>
      <c r="L142">
        <v>182.48161364000001</v>
      </c>
      <c r="M142">
        <v>190.05574242</v>
      </c>
      <c r="N142">
        <v>166.59731818</v>
      </c>
      <c r="O142">
        <v>296.63828570999999</v>
      </c>
      <c r="P142">
        <v>388.83746774000002</v>
      </c>
      <c r="Q142">
        <v>514.77447618999997</v>
      </c>
      <c r="R142">
        <v>149.45455881999999</v>
      </c>
    </row>
    <row r="143" spans="1:18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218291.39655</v>
      </c>
      <c r="I143">
        <v>252923.68401999999</v>
      </c>
      <c r="J143">
        <v>239788.86629999999</v>
      </c>
      <c r="K143">
        <v>253781.76514</v>
      </c>
      <c r="L143">
        <v>252782.22255000001</v>
      </c>
      <c r="M143">
        <v>246723.08324000001</v>
      </c>
      <c r="N143">
        <v>205981.74635999999</v>
      </c>
      <c r="O143">
        <v>238563.9615</v>
      </c>
      <c r="P143">
        <v>262637.98966000002</v>
      </c>
      <c r="Q143">
        <v>216133.93299999999</v>
      </c>
      <c r="R143">
        <v>204350.47362</v>
      </c>
    </row>
    <row r="144" spans="1:18" x14ac:dyDescent="0.35">
      <c r="A144" t="s">
        <v>495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72.065899999999999</v>
      </c>
      <c r="I144">
        <v>80.404536585000002</v>
      </c>
      <c r="J144">
        <v>250.23059015999999</v>
      </c>
      <c r="K144">
        <v>56.625727273000003</v>
      </c>
      <c r="L144">
        <v>571.24465909000003</v>
      </c>
      <c r="M144">
        <v>422.23348485000002</v>
      </c>
      <c r="N144">
        <v>74.613954544999999</v>
      </c>
      <c r="O144">
        <v>64.278738094999994</v>
      </c>
      <c r="P144">
        <v>71.245854839000003</v>
      </c>
      <c r="Q144">
        <v>50.147761905000003</v>
      </c>
      <c r="R144">
        <v>54.035441175999999</v>
      </c>
    </row>
    <row r="145" spans="1:18" x14ac:dyDescent="0.35">
      <c r="A145" t="s">
        <v>195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39986.024250000002</v>
      </c>
      <c r="I145">
        <v>32883.706439000001</v>
      </c>
      <c r="J145">
        <v>31749.718819999998</v>
      </c>
      <c r="K145">
        <v>23486.082864</v>
      </c>
      <c r="L145">
        <v>24206.705750000001</v>
      </c>
      <c r="M145">
        <v>20270.641076</v>
      </c>
      <c r="N145">
        <v>15047.374771999999</v>
      </c>
      <c r="O145">
        <v>14723.015165999999</v>
      </c>
      <c r="P145">
        <v>14433.068757999999</v>
      </c>
      <c r="Q145">
        <v>18225.409285999998</v>
      </c>
      <c r="R145">
        <v>11636.427557999999</v>
      </c>
    </row>
    <row r="146" spans="1:18" x14ac:dyDescent="0.35">
      <c r="A146" t="s">
        <v>200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1421.0514499999999</v>
      </c>
      <c r="I146">
        <v>1656.6808536999999</v>
      </c>
      <c r="J146">
        <v>1476.9387213</v>
      </c>
      <c r="K146">
        <v>1307.5744999999999</v>
      </c>
      <c r="L146">
        <v>1140.3150455</v>
      </c>
      <c r="M146">
        <v>1196.2773182000001</v>
      </c>
      <c r="N146">
        <v>643.85881817999996</v>
      </c>
      <c r="O146">
        <v>884.72085714000002</v>
      </c>
      <c r="P146">
        <v>967.06182258000001</v>
      </c>
      <c r="Q146">
        <v>824.81142856999998</v>
      </c>
      <c r="R146">
        <v>1037.8837647</v>
      </c>
    </row>
    <row r="147" spans="1:18" x14ac:dyDescent="0.35">
      <c r="A147" t="s">
        <v>196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13539.09355</v>
      </c>
      <c r="I147">
        <v>14668.546439</v>
      </c>
      <c r="J147">
        <v>14055.465967</v>
      </c>
      <c r="K147">
        <v>16553.894227000001</v>
      </c>
      <c r="L147">
        <v>18183.918091</v>
      </c>
      <c r="M147">
        <v>16073.953514999999</v>
      </c>
      <c r="N147">
        <v>19812.905091000001</v>
      </c>
      <c r="O147">
        <v>22801.507429000001</v>
      </c>
      <c r="P147">
        <v>18634.103242000001</v>
      </c>
      <c r="Q147">
        <v>8895.4564762000009</v>
      </c>
      <c r="R147">
        <v>9180.4220294000006</v>
      </c>
    </row>
    <row r="148" spans="1:18" x14ac:dyDescent="0.35">
      <c r="A148" t="s">
        <v>209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7607.5299500000001</v>
      </c>
      <c r="I148">
        <v>10710.941439</v>
      </c>
      <c r="J148">
        <v>13368.068622999999</v>
      </c>
      <c r="K148">
        <v>16436.838682000001</v>
      </c>
      <c r="L148">
        <v>17441.683773000001</v>
      </c>
      <c r="M148">
        <v>18412.218636000001</v>
      </c>
      <c r="N148">
        <v>19148.678591</v>
      </c>
      <c r="O148">
        <v>21518.325690000001</v>
      </c>
      <c r="P148">
        <v>22337.619274000001</v>
      </c>
      <c r="Q148">
        <v>50041.541095</v>
      </c>
      <c r="R148">
        <v>34046.955999999998</v>
      </c>
    </row>
    <row r="149" spans="1:18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1780.3758</v>
      </c>
      <c r="I149">
        <v>1504.4700731999999</v>
      </c>
      <c r="J149">
        <v>1444.5011474999999</v>
      </c>
      <c r="K149">
        <v>1344.9755</v>
      </c>
      <c r="L149">
        <v>1404.4881135999999</v>
      </c>
      <c r="M149">
        <v>2121.7943181999999</v>
      </c>
      <c r="N149">
        <v>1802.9865</v>
      </c>
      <c r="O149">
        <v>1859.3983095000001</v>
      </c>
      <c r="P149">
        <v>2378.7424031999999</v>
      </c>
      <c r="Q149">
        <v>1914.2526667</v>
      </c>
      <c r="R149">
        <v>1138.9222353</v>
      </c>
    </row>
    <row r="150" spans="1:18" x14ac:dyDescent="0.35">
      <c r="A150" t="s">
        <v>202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1.3465</v>
      </c>
      <c r="I150">
        <v>0.77268292682999995</v>
      </c>
      <c r="J150">
        <v>0.51934426229999997</v>
      </c>
      <c r="K150">
        <v>0</v>
      </c>
      <c r="L150">
        <v>0</v>
      </c>
      <c r="M150">
        <v>0.75128787879000003</v>
      </c>
      <c r="N150">
        <v>4.8791818182000002</v>
      </c>
      <c r="O150">
        <v>3.2902380951999999</v>
      </c>
      <c r="P150">
        <v>2.6309999999999998</v>
      </c>
      <c r="Q150">
        <v>8.7843333332999993</v>
      </c>
      <c r="R150">
        <v>0</v>
      </c>
    </row>
    <row r="151" spans="1:18" x14ac:dyDescent="0.35">
      <c r="A151" t="s">
        <v>197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14.47185</v>
      </c>
      <c r="I151">
        <v>22.396268292999999</v>
      </c>
      <c r="J151">
        <v>18.287360656000001</v>
      </c>
      <c r="K151">
        <v>9.3467272727000008</v>
      </c>
      <c r="L151">
        <v>14.468977272</v>
      </c>
      <c r="M151">
        <v>15.237257574999999</v>
      </c>
      <c r="N151">
        <v>6.5306363636000002</v>
      </c>
      <c r="O151">
        <v>14.482857142</v>
      </c>
      <c r="P151">
        <v>11.649741935</v>
      </c>
      <c r="Q151">
        <v>58.676904761999999</v>
      </c>
      <c r="R151">
        <v>11.521323529</v>
      </c>
    </row>
    <row r="152" spans="1:18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338312.12680000003</v>
      </c>
      <c r="I152">
        <v>295566.88433999999</v>
      </c>
      <c r="J152">
        <v>300328.34850999998</v>
      </c>
      <c r="K152">
        <v>169255.95236</v>
      </c>
      <c r="L152">
        <v>157835.10870000001</v>
      </c>
      <c r="M152">
        <v>198136.52239</v>
      </c>
      <c r="N152">
        <v>194111.92332</v>
      </c>
      <c r="O152">
        <v>178122.95228999999</v>
      </c>
      <c r="P152">
        <v>185027.77011000001</v>
      </c>
      <c r="Q152">
        <v>174606.76514</v>
      </c>
      <c r="R152">
        <v>91752.109146999996</v>
      </c>
    </row>
    <row r="153" spans="1:18" x14ac:dyDescent="0.35">
      <c r="A153" t="s">
        <v>205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6656.6068999999998</v>
      </c>
      <c r="I153">
        <v>8225.8287560999997</v>
      </c>
      <c r="J153">
        <v>8191.3939179999998</v>
      </c>
      <c r="K153">
        <v>7587.8242272999996</v>
      </c>
      <c r="L153">
        <v>8261.7237955000001</v>
      </c>
      <c r="M153">
        <v>9425.5737575999992</v>
      </c>
      <c r="N153">
        <v>12355.374045</v>
      </c>
      <c r="O153">
        <v>13842.97219</v>
      </c>
      <c r="P153">
        <v>19155.1535</v>
      </c>
      <c r="Q153">
        <v>10675.109714</v>
      </c>
      <c r="R153">
        <v>13188.252235</v>
      </c>
    </row>
    <row r="154" spans="1:18" x14ac:dyDescent="0.35">
      <c r="A154" t="s">
        <v>210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1806.3362999999999</v>
      </c>
      <c r="I154">
        <v>2373.5556829000002</v>
      </c>
      <c r="J154">
        <v>2191.1472951000001</v>
      </c>
      <c r="K154">
        <v>912.81736364000005</v>
      </c>
      <c r="L154">
        <v>1238.9695455000001</v>
      </c>
      <c r="M154">
        <v>1315.2601666999999</v>
      </c>
      <c r="N154">
        <v>2030.3716818</v>
      </c>
      <c r="O154">
        <v>2053.4484047999999</v>
      </c>
      <c r="P154">
        <v>2017.5604194</v>
      </c>
      <c r="Q154">
        <v>1665.3193332999999</v>
      </c>
      <c r="R154">
        <v>2666.7036471000001</v>
      </c>
    </row>
    <row r="155" spans="1:18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39766.46615</v>
      </c>
      <c r="I155">
        <v>40514.827098000002</v>
      </c>
      <c r="J155">
        <v>46979.923475000003</v>
      </c>
      <c r="K155">
        <v>34269.935363999997</v>
      </c>
      <c r="L155">
        <v>36155.806932</v>
      </c>
      <c r="M155">
        <v>33747.187288000001</v>
      </c>
      <c r="N155">
        <v>31393.523364000001</v>
      </c>
      <c r="O155">
        <v>33223.699286000003</v>
      </c>
      <c r="P155">
        <v>40628.062919000004</v>
      </c>
      <c r="Q155">
        <v>59991.898809999999</v>
      </c>
      <c r="R155">
        <v>37017.119176</v>
      </c>
    </row>
    <row r="156" spans="1:18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73055.70955</v>
      </c>
      <c r="I156">
        <v>65779.904049000004</v>
      </c>
      <c r="J156">
        <v>68001.306049000006</v>
      </c>
      <c r="K156">
        <v>59499.287499999999</v>
      </c>
      <c r="L156">
        <v>67616.037408999997</v>
      </c>
      <c r="M156">
        <v>66361.680378999998</v>
      </c>
      <c r="N156">
        <v>55008.337500000001</v>
      </c>
      <c r="O156">
        <v>59028.311737999997</v>
      </c>
      <c r="P156">
        <v>59149.049451999999</v>
      </c>
      <c r="Q156">
        <v>74533.635238000003</v>
      </c>
      <c r="R156">
        <v>50317.175088000004</v>
      </c>
    </row>
    <row r="157" spans="1:18" x14ac:dyDescent="0.35">
      <c r="A157" t="s">
        <v>207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2613.9769500000002</v>
      </c>
      <c r="I157">
        <v>2962.7175609999999</v>
      </c>
      <c r="J157">
        <v>2802.1686393</v>
      </c>
      <c r="K157">
        <v>1619.1489544999999</v>
      </c>
      <c r="L157">
        <v>2222.3609999999999</v>
      </c>
      <c r="M157">
        <v>2250.9250909000002</v>
      </c>
      <c r="N157">
        <v>1792.2356818000001</v>
      </c>
      <c r="O157">
        <v>2109.7316190000001</v>
      </c>
      <c r="P157">
        <v>2100.6286451999999</v>
      </c>
      <c r="Q157">
        <v>2463.8630951999999</v>
      </c>
      <c r="R157">
        <v>2265.6402352999999</v>
      </c>
    </row>
    <row r="158" spans="1:18" x14ac:dyDescent="0.35">
      <c r="A158" t="s">
        <v>211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123798.84865</v>
      </c>
      <c r="I158">
        <v>108037.849</v>
      </c>
      <c r="J158">
        <v>106196.80603000001</v>
      </c>
      <c r="K158">
        <v>83966.469364000004</v>
      </c>
      <c r="L158">
        <v>85760.617794999998</v>
      </c>
      <c r="M158">
        <v>88746.586544999998</v>
      </c>
      <c r="N158">
        <v>86412.717864000006</v>
      </c>
      <c r="O158">
        <v>96089.129000000001</v>
      </c>
      <c r="P158">
        <v>98330.915257999994</v>
      </c>
      <c r="Q158">
        <v>147159.90067</v>
      </c>
      <c r="R158">
        <v>93750.834881999996</v>
      </c>
    </row>
    <row r="159" spans="1:18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14248.49755</v>
      </c>
      <c r="I159">
        <v>13417.677804000001</v>
      </c>
      <c r="J159">
        <v>12422.938983</v>
      </c>
      <c r="K159">
        <v>11161.673045</v>
      </c>
      <c r="L159">
        <v>11590.002135999999</v>
      </c>
      <c r="M159">
        <v>12964.977015</v>
      </c>
      <c r="N159">
        <v>14252.749818</v>
      </c>
      <c r="O159">
        <v>16162.164429</v>
      </c>
      <c r="P159">
        <v>14938.949306</v>
      </c>
      <c r="Q159">
        <v>15276.186666</v>
      </c>
      <c r="R159">
        <v>7351.1336764999996</v>
      </c>
    </row>
    <row r="160" spans="1:18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28928.716250000001</v>
      </c>
      <c r="I160">
        <v>25604.485537</v>
      </c>
      <c r="J160">
        <v>25748.270033000001</v>
      </c>
      <c r="K160">
        <v>24050.387817999999</v>
      </c>
      <c r="L160">
        <v>27129.320317999998</v>
      </c>
      <c r="M160">
        <v>36379.128135999999</v>
      </c>
      <c r="N160">
        <v>53338.170408999998</v>
      </c>
      <c r="O160">
        <v>104051.34431</v>
      </c>
      <c r="P160">
        <v>103613.40577</v>
      </c>
      <c r="Q160">
        <v>82528.046143</v>
      </c>
      <c r="R160">
        <v>0</v>
      </c>
    </row>
    <row r="161" spans="1:18" x14ac:dyDescent="0.35">
      <c r="A161" t="s">
        <v>458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118584.42415000001</v>
      </c>
      <c r="I161">
        <v>124308.06570000001</v>
      </c>
      <c r="J161">
        <v>106589.43478</v>
      </c>
      <c r="K161">
        <v>49343.608045000001</v>
      </c>
      <c r="L161">
        <v>91198.510773000002</v>
      </c>
      <c r="M161">
        <v>97294.059590999997</v>
      </c>
      <c r="N161">
        <v>73681.077682000003</v>
      </c>
      <c r="O161">
        <v>81682.450689999998</v>
      </c>
      <c r="P161">
        <v>76940.744160999995</v>
      </c>
      <c r="Q161">
        <v>66017.601618999994</v>
      </c>
      <c r="R161">
        <v>63834.866853</v>
      </c>
    </row>
    <row r="162" spans="1:18" x14ac:dyDescent="0.35">
      <c r="A162" t="s">
        <v>213</v>
      </c>
      <c r="B162">
        <v>117.36747826</v>
      </c>
      <c r="C162">
        <v>116.91642856999999</v>
      </c>
      <c r="D162">
        <v>125.75931147</v>
      </c>
      <c r="E162">
        <v>180.98604545000001</v>
      </c>
      <c r="F162">
        <v>180.05861905</v>
      </c>
      <c r="G162">
        <v>147.11968852000001</v>
      </c>
      <c r="H162">
        <v>76.725399999999993</v>
      </c>
      <c r="I162">
        <v>91.347853658999995</v>
      </c>
      <c r="J162">
        <v>101.69113114</v>
      </c>
      <c r="K162">
        <v>122.62940909</v>
      </c>
      <c r="L162">
        <v>114.30604545</v>
      </c>
      <c r="M162">
        <v>110.43765150999999</v>
      </c>
      <c r="N162">
        <v>59.924681818000003</v>
      </c>
      <c r="O162">
        <v>92.944238095000003</v>
      </c>
      <c r="P162">
        <v>152.60029032</v>
      </c>
      <c r="Q162">
        <v>122.64138095</v>
      </c>
      <c r="R162">
        <v>447.12900000000002</v>
      </c>
    </row>
    <row r="163" spans="1:18" x14ac:dyDescent="0.35">
      <c r="A163" t="s">
        <v>217</v>
      </c>
      <c r="B163">
        <v>1941.1235652</v>
      </c>
      <c r="C163">
        <v>10492.305381</v>
      </c>
      <c r="D163">
        <v>8773.5304754000008</v>
      </c>
      <c r="E163">
        <v>2665.8830455000002</v>
      </c>
      <c r="F163">
        <v>2440.0944524000001</v>
      </c>
      <c r="G163">
        <v>2609.5490328000001</v>
      </c>
      <c r="H163">
        <v>7205.1360500000001</v>
      </c>
      <c r="I163">
        <v>5290.1234877999996</v>
      </c>
      <c r="J163">
        <v>4356.1638524999998</v>
      </c>
      <c r="K163">
        <v>1892.6990455</v>
      </c>
      <c r="L163">
        <v>1628.4811136000001</v>
      </c>
      <c r="M163">
        <v>1388.2571212</v>
      </c>
      <c r="N163">
        <v>1373.6733182</v>
      </c>
      <c r="O163">
        <v>2369.3231190000001</v>
      </c>
      <c r="P163">
        <v>2400.7031935999998</v>
      </c>
      <c r="Q163">
        <v>630.23690476000002</v>
      </c>
      <c r="R163">
        <v>66.509617646999999</v>
      </c>
    </row>
    <row r="164" spans="1:18" x14ac:dyDescent="0.35">
      <c r="A164" t="s">
        <v>214</v>
      </c>
      <c r="B164">
        <v>11978.063391</v>
      </c>
      <c r="C164">
        <v>22111.524071</v>
      </c>
      <c r="D164">
        <v>23831.427179999999</v>
      </c>
      <c r="E164">
        <v>17767.021364</v>
      </c>
      <c r="F164">
        <v>38044.429285999999</v>
      </c>
      <c r="G164">
        <v>32599.953753999998</v>
      </c>
      <c r="H164">
        <v>11951.826499999999</v>
      </c>
      <c r="I164">
        <v>9740.1613902000008</v>
      </c>
      <c r="J164">
        <v>9450.1318525000006</v>
      </c>
      <c r="K164">
        <v>8639.8240454999996</v>
      </c>
      <c r="L164">
        <v>9658.0474317999997</v>
      </c>
      <c r="M164">
        <v>9571.0581817999991</v>
      </c>
      <c r="N164">
        <v>11713.319954000001</v>
      </c>
      <c r="O164">
        <v>10323.137833000001</v>
      </c>
      <c r="P164">
        <v>10769.502387</v>
      </c>
      <c r="Q164">
        <v>12247.131665999999</v>
      </c>
      <c r="R164">
        <v>12719.293116999999</v>
      </c>
    </row>
    <row r="165" spans="1:18" x14ac:dyDescent="0.35">
      <c r="A165" t="s">
        <v>215</v>
      </c>
      <c r="B165">
        <v>2853.6819999999998</v>
      </c>
      <c r="C165">
        <v>3549.1855237999998</v>
      </c>
      <c r="D165">
        <v>3504.2395409999999</v>
      </c>
      <c r="E165">
        <v>4213.1634544999997</v>
      </c>
      <c r="F165">
        <v>3260.9517618999998</v>
      </c>
      <c r="G165">
        <v>2739.9621966999998</v>
      </c>
      <c r="H165">
        <v>2358.5508500000001</v>
      </c>
      <c r="I165">
        <v>2115.7620000000002</v>
      </c>
      <c r="J165">
        <v>2476.5368033</v>
      </c>
      <c r="K165">
        <v>2205.7005454999999</v>
      </c>
      <c r="L165">
        <v>2893.6465226999999</v>
      </c>
      <c r="M165">
        <v>3756.0371970000001</v>
      </c>
      <c r="N165">
        <v>3083.9594545</v>
      </c>
      <c r="O165">
        <v>3723.5284523999999</v>
      </c>
      <c r="P165">
        <v>4011.6694839000002</v>
      </c>
      <c r="Q165">
        <v>4766.014381</v>
      </c>
      <c r="R165">
        <v>7518.5427352999995</v>
      </c>
    </row>
    <row r="166" spans="1:18" x14ac:dyDescent="0.35">
      <c r="A166" t="s">
        <v>212</v>
      </c>
      <c r="B166">
        <v>21125.256434999999</v>
      </c>
      <c r="C166">
        <v>24424.561142999999</v>
      </c>
      <c r="D166">
        <v>24013.716033000001</v>
      </c>
      <c r="E166">
        <v>14524.093181</v>
      </c>
      <c r="F166">
        <v>15455.326166000001</v>
      </c>
      <c r="G166">
        <v>15116.905769999999</v>
      </c>
      <c r="H166">
        <v>20784.6374</v>
      </c>
      <c r="I166">
        <v>28954.121438999999</v>
      </c>
      <c r="J166">
        <v>26898.166836</v>
      </c>
      <c r="K166">
        <v>21120.407136000002</v>
      </c>
      <c r="L166">
        <v>24197.424204999999</v>
      </c>
      <c r="M166">
        <v>22972.506576</v>
      </c>
      <c r="N166">
        <v>25911.003135999999</v>
      </c>
      <c r="O166">
        <v>30424.991262</v>
      </c>
      <c r="P166">
        <v>38148.038371000002</v>
      </c>
      <c r="Q166">
        <v>50327.134237999999</v>
      </c>
      <c r="R166">
        <v>45384.950793999997</v>
      </c>
    </row>
    <row r="167" spans="1:18" x14ac:dyDescent="0.35">
      <c r="A167" t="s">
        <v>216</v>
      </c>
    </row>
    <row r="168" spans="1:18" x14ac:dyDescent="0.35">
      <c r="A168" t="s">
        <v>469</v>
      </c>
    </row>
    <row r="169" spans="1:18" x14ac:dyDescent="0.35">
      <c r="A169" t="s">
        <v>132</v>
      </c>
      <c r="B169">
        <v>40032.572783000003</v>
      </c>
      <c r="C169">
        <v>38396.641047999998</v>
      </c>
      <c r="D169">
        <v>43412.992966999998</v>
      </c>
      <c r="E169">
        <v>27916.369682</v>
      </c>
      <c r="F169">
        <v>29441.499429</v>
      </c>
      <c r="G169">
        <v>26107.911410000001</v>
      </c>
      <c r="H169">
        <v>83747.305349999995</v>
      </c>
      <c r="I169">
        <v>65596.103048999998</v>
      </c>
      <c r="J169">
        <v>51365.601295</v>
      </c>
      <c r="K169">
        <v>37964.609182</v>
      </c>
      <c r="L169">
        <v>46205.510864000003</v>
      </c>
      <c r="M169">
        <v>52807.139015000001</v>
      </c>
      <c r="N169">
        <v>41719.662544999999</v>
      </c>
      <c r="O169">
        <v>43005.568024</v>
      </c>
      <c r="P169">
        <v>39151.407952000001</v>
      </c>
      <c r="Q169">
        <v>43862.237094999997</v>
      </c>
      <c r="R169">
        <v>11178.9115</v>
      </c>
    </row>
    <row r="170" spans="1:18" x14ac:dyDescent="0.35">
      <c r="A170" t="s">
        <v>77</v>
      </c>
      <c r="B170">
        <v>292366.75896000001</v>
      </c>
      <c r="C170">
        <v>337865.93562</v>
      </c>
      <c r="D170">
        <v>367814.11189</v>
      </c>
      <c r="E170">
        <v>311965.67355000001</v>
      </c>
      <c r="F170">
        <v>374839.16064000002</v>
      </c>
      <c r="G170">
        <v>376079.51916000003</v>
      </c>
      <c r="H170">
        <v>509560.37459999998</v>
      </c>
      <c r="I170">
        <v>412859.32795000001</v>
      </c>
      <c r="J170">
        <v>412141.75586999999</v>
      </c>
      <c r="K170">
        <v>297601.74914000003</v>
      </c>
      <c r="L170">
        <v>314461.06874999998</v>
      </c>
      <c r="M170">
        <v>321433.97291000001</v>
      </c>
      <c r="N170">
        <v>329391.02273000003</v>
      </c>
      <c r="O170">
        <v>359924.41781000001</v>
      </c>
      <c r="P170">
        <v>365676.01643999998</v>
      </c>
      <c r="Q170">
        <v>563772.60014</v>
      </c>
      <c r="R170">
        <v>449504.34941000002</v>
      </c>
    </row>
    <row r="171" spans="1:18" x14ac:dyDescent="0.35">
      <c r="A171" t="s">
        <v>219</v>
      </c>
      <c r="B171">
        <v>1037765.2879</v>
      </c>
      <c r="C171">
        <v>1181481.8411000001</v>
      </c>
      <c r="D171">
        <v>1211635.577</v>
      </c>
      <c r="E171">
        <v>989868.92318000004</v>
      </c>
      <c r="F171">
        <v>1114783.4277999999</v>
      </c>
      <c r="G171">
        <v>1116321.5508999999</v>
      </c>
      <c r="H171">
        <v>1852836.4957999999</v>
      </c>
      <c r="I171">
        <v>1496043.1854999999</v>
      </c>
      <c r="J171">
        <v>1456701.7205999999</v>
      </c>
      <c r="K171">
        <v>763423.94499999995</v>
      </c>
      <c r="L171">
        <v>891430.67575000005</v>
      </c>
      <c r="M171">
        <v>897096.35750000004</v>
      </c>
      <c r="N171">
        <v>825533.05591</v>
      </c>
      <c r="O171">
        <v>1111117.0834999999</v>
      </c>
      <c r="P171">
        <v>1114113.7186</v>
      </c>
      <c r="Q171">
        <v>1518403.7268999999</v>
      </c>
      <c r="R171">
        <v>1466571.8504000001</v>
      </c>
    </row>
    <row r="172" spans="1:18" x14ac:dyDescent="0.35">
      <c r="A172" t="s">
        <v>78</v>
      </c>
      <c r="B172">
        <v>25394.909</v>
      </c>
      <c r="C172">
        <v>41001.990738</v>
      </c>
      <c r="D172">
        <v>37935.139000000003</v>
      </c>
      <c r="E172">
        <v>42190.237318</v>
      </c>
      <c r="F172">
        <v>36585.365786000002</v>
      </c>
      <c r="G172">
        <v>33170.641327999998</v>
      </c>
      <c r="H172">
        <v>27401.430950000002</v>
      </c>
      <c r="I172">
        <v>27947.339805</v>
      </c>
      <c r="J172">
        <v>29666.116065999999</v>
      </c>
      <c r="K172">
        <v>23027.029590999999</v>
      </c>
      <c r="L172">
        <v>28360.133658999999</v>
      </c>
      <c r="M172">
        <v>24268.387226999999</v>
      </c>
      <c r="N172">
        <v>11810.707863</v>
      </c>
      <c r="O172">
        <v>13036.794785</v>
      </c>
      <c r="P172">
        <v>24166.019660999998</v>
      </c>
      <c r="Q172">
        <v>15712.643047</v>
      </c>
      <c r="R172">
        <v>10495.995235</v>
      </c>
    </row>
    <row r="173" spans="1:18" x14ac:dyDescent="0.35">
      <c r="A173" t="s">
        <v>497</v>
      </c>
      <c r="B173">
        <v>1543.8039564999999</v>
      </c>
      <c r="C173">
        <v>1991.6944762000001</v>
      </c>
      <c r="D173">
        <v>1911.3256392999999</v>
      </c>
      <c r="E173">
        <v>980.56409091</v>
      </c>
      <c r="F173">
        <v>1237.4920952</v>
      </c>
      <c r="G173">
        <v>1311.1643114999999</v>
      </c>
      <c r="H173">
        <v>2600.2298500000002</v>
      </c>
      <c r="I173">
        <v>2178.5441219999998</v>
      </c>
      <c r="J173">
        <v>1886.3091148000001</v>
      </c>
      <c r="K173">
        <v>1479.8269091</v>
      </c>
      <c r="L173">
        <v>1503.9660908999999</v>
      </c>
      <c r="M173">
        <v>1649.4183939</v>
      </c>
      <c r="N173">
        <v>1426.6175909000001</v>
      </c>
      <c r="O173">
        <v>1551.7884762000001</v>
      </c>
      <c r="P173">
        <v>1859.2676128999999</v>
      </c>
      <c r="Q173">
        <v>1927.8980951999999</v>
      </c>
      <c r="R173">
        <v>915.83382353000002</v>
      </c>
    </row>
    <row r="174" spans="1:18" x14ac:dyDescent="0.35">
      <c r="A174" t="s">
        <v>227</v>
      </c>
      <c r="B174">
        <v>1101.7059999999999</v>
      </c>
      <c r="C174">
        <v>2598.8015</v>
      </c>
      <c r="D174">
        <v>2595.0110328000001</v>
      </c>
      <c r="E174">
        <v>4476.9255455000002</v>
      </c>
      <c r="F174">
        <v>4110.5111905000003</v>
      </c>
      <c r="G174">
        <v>4727.8694261999999</v>
      </c>
      <c r="H174">
        <v>3370.4425500000002</v>
      </c>
      <c r="I174">
        <v>3530.8574389999999</v>
      </c>
      <c r="J174">
        <v>3238.8026393</v>
      </c>
      <c r="K174">
        <v>3095.2778182000002</v>
      </c>
      <c r="L174">
        <v>3848.1397272999998</v>
      </c>
      <c r="M174">
        <v>4357.4921514999996</v>
      </c>
      <c r="N174">
        <v>12257.598953999999</v>
      </c>
      <c r="O174">
        <v>14011.006713999999</v>
      </c>
      <c r="P174">
        <v>20202.779339000001</v>
      </c>
      <c r="Q174">
        <v>28597.905666999999</v>
      </c>
      <c r="R174">
        <v>16406.861706</v>
      </c>
    </row>
    <row r="175" spans="1:18" x14ac:dyDescent="0.35">
      <c r="A175" t="s">
        <v>218</v>
      </c>
      <c r="B175">
        <v>9274.1538261000005</v>
      </c>
      <c r="C175">
        <v>12802.840475999999</v>
      </c>
      <c r="D175">
        <v>12560.505491</v>
      </c>
      <c r="E175">
        <v>13481.159089999999</v>
      </c>
      <c r="F175">
        <v>12326.217000000001</v>
      </c>
      <c r="G175">
        <v>12269.181278</v>
      </c>
      <c r="H175">
        <v>11593.7245</v>
      </c>
      <c r="I175">
        <v>13138.076756</v>
      </c>
      <c r="J175">
        <v>14525.20577</v>
      </c>
      <c r="K175">
        <v>10844.378044999999</v>
      </c>
      <c r="L175">
        <v>12713.423863</v>
      </c>
      <c r="M175">
        <v>13596.536271999999</v>
      </c>
      <c r="N175">
        <v>16727.365136</v>
      </c>
      <c r="O175">
        <v>18915.325857</v>
      </c>
      <c r="P175">
        <v>19277.224709999999</v>
      </c>
      <c r="Q175">
        <v>26107.346667000002</v>
      </c>
      <c r="R175">
        <v>15609.323646999999</v>
      </c>
    </row>
    <row r="176" spans="1:18" x14ac:dyDescent="0.35">
      <c r="A176" t="s">
        <v>222</v>
      </c>
      <c r="B176">
        <v>2960.5031303999999</v>
      </c>
      <c r="C176">
        <v>3305.5898333</v>
      </c>
      <c r="D176">
        <v>3420.1517213000002</v>
      </c>
      <c r="E176">
        <v>2607.9139544999998</v>
      </c>
      <c r="F176">
        <v>2308.0290476</v>
      </c>
      <c r="G176">
        <v>2152.1812951000002</v>
      </c>
      <c r="H176">
        <v>2413.7797</v>
      </c>
      <c r="I176">
        <v>3170.4646828999998</v>
      </c>
      <c r="J176">
        <v>3742.9949016</v>
      </c>
      <c r="K176">
        <v>2844.1462726999998</v>
      </c>
      <c r="L176">
        <v>3235.5872273</v>
      </c>
      <c r="M176">
        <v>3249.3353938999999</v>
      </c>
      <c r="N176">
        <v>1849.0381364</v>
      </c>
      <c r="O176">
        <v>2851.5045476</v>
      </c>
      <c r="P176">
        <v>4587.9342581000001</v>
      </c>
      <c r="Q176">
        <v>9197.9755714000003</v>
      </c>
      <c r="R176">
        <v>7946.5367941000004</v>
      </c>
    </row>
    <row r="177" spans="1:18" x14ac:dyDescent="0.35">
      <c r="A177" t="s">
        <v>149</v>
      </c>
      <c r="B177">
        <v>3539.3409565000002</v>
      </c>
      <c r="C177">
        <v>3902.6596666999999</v>
      </c>
      <c r="D177">
        <v>3545.1486393</v>
      </c>
      <c r="E177">
        <v>1403.9092273000001</v>
      </c>
      <c r="F177">
        <v>2032.6747381</v>
      </c>
      <c r="G177">
        <v>2127.6782131</v>
      </c>
      <c r="H177">
        <v>2822.1918999999998</v>
      </c>
      <c r="I177">
        <v>2553.8310000000001</v>
      </c>
      <c r="J177">
        <v>2185.7187705000001</v>
      </c>
      <c r="K177">
        <v>1142.5</v>
      </c>
      <c r="L177">
        <v>1566.5140226999999</v>
      </c>
      <c r="M177">
        <v>2347.8180455000002</v>
      </c>
      <c r="N177">
        <v>3216.5207727000002</v>
      </c>
      <c r="O177">
        <v>5554.3457142999996</v>
      </c>
      <c r="P177">
        <v>5991.6469515999997</v>
      </c>
      <c r="Q177">
        <v>4984.5315238000003</v>
      </c>
      <c r="R177">
        <v>8166.3190587999998</v>
      </c>
    </row>
    <row r="178" spans="1:18" x14ac:dyDescent="0.35">
      <c r="A178" t="s">
        <v>198</v>
      </c>
      <c r="B178">
        <v>75724.537435000006</v>
      </c>
      <c r="C178">
        <v>93653.388976000002</v>
      </c>
      <c r="D178">
        <v>93769.207229000007</v>
      </c>
      <c r="E178">
        <v>98600.132817999998</v>
      </c>
      <c r="F178">
        <v>92236.427762000007</v>
      </c>
      <c r="G178">
        <v>99057.911573999998</v>
      </c>
      <c r="H178">
        <v>99984.838300000003</v>
      </c>
      <c r="I178">
        <v>93596.883732000002</v>
      </c>
      <c r="J178">
        <v>86934.891279000003</v>
      </c>
      <c r="K178">
        <v>63121.059500000003</v>
      </c>
      <c r="L178">
        <v>70261.911932000003</v>
      </c>
      <c r="M178">
        <v>74042.767544999995</v>
      </c>
      <c r="N178">
        <v>83549.064773000006</v>
      </c>
      <c r="O178">
        <v>129620.45676</v>
      </c>
      <c r="P178">
        <v>116227.42356</v>
      </c>
      <c r="Q178">
        <v>67466.983523999996</v>
      </c>
      <c r="R178">
        <v>59374.300646999996</v>
      </c>
    </row>
    <row r="179" spans="1:18" x14ac:dyDescent="0.35">
      <c r="A179" t="s">
        <v>199</v>
      </c>
      <c r="B179">
        <v>42785.055869999997</v>
      </c>
      <c r="C179">
        <v>37722.602524000002</v>
      </c>
      <c r="D179">
        <v>45608.021328000003</v>
      </c>
      <c r="E179">
        <v>10804.265545</v>
      </c>
      <c r="F179">
        <v>9392.5831429000009</v>
      </c>
      <c r="G179">
        <v>11352.352097999999</v>
      </c>
      <c r="H179">
        <v>16076.4943</v>
      </c>
      <c r="I179">
        <v>20751.593268000001</v>
      </c>
      <c r="J179">
        <v>20717.241851999999</v>
      </c>
      <c r="K179">
        <v>18034.213409</v>
      </c>
      <c r="L179">
        <v>17273.527454999999</v>
      </c>
      <c r="M179">
        <v>15633.497439000001</v>
      </c>
      <c r="N179">
        <v>38023.184909000003</v>
      </c>
      <c r="O179">
        <v>22958.640143000001</v>
      </c>
      <c r="P179">
        <v>15639.314758</v>
      </c>
      <c r="Q179">
        <v>0</v>
      </c>
      <c r="R179">
        <v>0</v>
      </c>
    </row>
    <row r="180" spans="1:18" x14ac:dyDescent="0.35">
      <c r="A180" t="s">
        <v>272</v>
      </c>
      <c r="B180">
        <v>8900.3323478000002</v>
      </c>
      <c r="C180">
        <v>8715.3542619</v>
      </c>
      <c r="D180">
        <v>8156.4948525</v>
      </c>
      <c r="E180">
        <v>4650.5264999999999</v>
      </c>
      <c r="F180">
        <v>4226.4824523999996</v>
      </c>
      <c r="G180">
        <v>4357.1861474999996</v>
      </c>
      <c r="H180">
        <v>7597.8502500000004</v>
      </c>
      <c r="I180">
        <v>7370.4441463000003</v>
      </c>
      <c r="J180">
        <v>6651.7714426000002</v>
      </c>
      <c r="K180">
        <v>3286.7698181999999</v>
      </c>
      <c r="L180">
        <v>3270.6109772999998</v>
      </c>
      <c r="M180">
        <v>3363.1615455000001</v>
      </c>
      <c r="N180">
        <v>4348.9176817999996</v>
      </c>
      <c r="O180">
        <v>4223.5955000000004</v>
      </c>
      <c r="P180">
        <v>4257.1714355000004</v>
      </c>
      <c r="Q180">
        <v>6122.1610952000001</v>
      </c>
      <c r="R180">
        <v>2098.4511471000001</v>
      </c>
    </row>
    <row r="181" spans="1:18" x14ac:dyDescent="0.35">
      <c r="A181" t="s">
        <v>225</v>
      </c>
      <c r="B181">
        <v>397454.88260999997</v>
      </c>
      <c r="C181">
        <v>370885.91024</v>
      </c>
      <c r="D181">
        <v>366500.51212999999</v>
      </c>
      <c r="E181">
        <v>388843.72681999998</v>
      </c>
      <c r="F181">
        <v>375311.39562000002</v>
      </c>
      <c r="G181">
        <v>358049.90025000001</v>
      </c>
      <c r="H181">
        <v>582267.50789999997</v>
      </c>
      <c r="I181">
        <v>506326.87261000002</v>
      </c>
      <c r="J181">
        <v>487228.50474</v>
      </c>
      <c r="K181">
        <v>295685.39864000003</v>
      </c>
      <c r="L181">
        <v>314516.15895000001</v>
      </c>
      <c r="M181">
        <v>293966.57858999999</v>
      </c>
      <c r="N181">
        <v>281128.12991000002</v>
      </c>
      <c r="O181">
        <v>309120.86871000001</v>
      </c>
      <c r="P181">
        <v>306240.59135</v>
      </c>
      <c r="Q181">
        <v>538348.64905000001</v>
      </c>
      <c r="R181">
        <v>406250.90231999999</v>
      </c>
    </row>
    <row r="182" spans="1:18" x14ac:dyDescent="0.35">
      <c r="A182" t="s">
        <v>79</v>
      </c>
      <c r="B182">
        <v>4359.9698261000003</v>
      </c>
      <c r="C182">
        <v>5051.0840238000001</v>
      </c>
      <c r="D182">
        <v>5082.5417377000003</v>
      </c>
      <c r="E182">
        <v>5726.3673636000003</v>
      </c>
      <c r="F182">
        <v>5074.4925952000003</v>
      </c>
      <c r="G182">
        <v>5390.2862131000002</v>
      </c>
      <c r="H182">
        <v>4575.4333500000002</v>
      </c>
      <c r="I182">
        <v>4025.7979512000002</v>
      </c>
      <c r="J182">
        <v>3874.2207705000001</v>
      </c>
      <c r="K182">
        <v>5877.2989545</v>
      </c>
      <c r="L182">
        <v>5616.2465227000002</v>
      </c>
      <c r="M182">
        <v>5963.9898635999998</v>
      </c>
      <c r="N182">
        <v>6662.0365909000002</v>
      </c>
      <c r="O182">
        <v>7671.8558571000003</v>
      </c>
      <c r="P182">
        <v>7111.7862257999996</v>
      </c>
      <c r="Q182">
        <v>6311.8010000000004</v>
      </c>
      <c r="R182">
        <v>7364.9361176000002</v>
      </c>
    </row>
    <row r="183" spans="1:18" x14ac:dyDescent="0.35">
      <c r="A183" t="s">
        <v>226</v>
      </c>
      <c r="B183">
        <v>82856.735174000001</v>
      </c>
      <c r="C183">
        <v>77875.712094999995</v>
      </c>
      <c r="D183">
        <v>83399.734049000006</v>
      </c>
      <c r="E183">
        <v>81596.326272999999</v>
      </c>
      <c r="F183">
        <v>85851.292667000002</v>
      </c>
      <c r="G183">
        <v>84895.687852000003</v>
      </c>
      <c r="H183">
        <v>63724.948700000001</v>
      </c>
      <c r="I183">
        <v>82010.871218999993</v>
      </c>
      <c r="J183">
        <v>87887.100114999994</v>
      </c>
      <c r="K183">
        <v>105983.034</v>
      </c>
      <c r="L183">
        <v>145627.99045000001</v>
      </c>
      <c r="M183">
        <v>126366.01289</v>
      </c>
      <c r="N183">
        <v>82677.587773000007</v>
      </c>
      <c r="O183">
        <v>85868.922476000007</v>
      </c>
      <c r="P183">
        <v>88360.469016000003</v>
      </c>
      <c r="Q183">
        <v>95928.219524</v>
      </c>
      <c r="R183">
        <v>79500.101706000001</v>
      </c>
    </row>
    <row r="184" spans="1:18" x14ac:dyDescent="0.35">
      <c r="A184" t="s">
        <v>223</v>
      </c>
      <c r="B184">
        <v>1085.7449999999999</v>
      </c>
      <c r="C184">
        <v>1733.710619</v>
      </c>
      <c r="D184">
        <v>1699.8983607</v>
      </c>
      <c r="E184">
        <v>1446.4733636000001</v>
      </c>
      <c r="F184">
        <v>1489.2167618999999</v>
      </c>
      <c r="G184">
        <v>1420.0387377</v>
      </c>
      <c r="H184">
        <v>1601.8623</v>
      </c>
      <c r="I184">
        <v>1762.7832682999999</v>
      </c>
      <c r="J184">
        <v>1846.0006393000001</v>
      </c>
      <c r="K184">
        <v>907.16672727000002</v>
      </c>
      <c r="L184">
        <v>896.66834090999998</v>
      </c>
      <c r="M184">
        <v>782.60796970000001</v>
      </c>
      <c r="N184">
        <v>442.16386363999999</v>
      </c>
      <c r="O184">
        <v>620.48973809999995</v>
      </c>
      <c r="P184">
        <v>584.18120968000005</v>
      </c>
      <c r="Q184">
        <v>834.37595237999994</v>
      </c>
      <c r="R184">
        <v>530.81885294000006</v>
      </c>
    </row>
    <row r="185" spans="1:18" x14ac:dyDescent="0.35">
      <c r="A185" t="s">
        <v>224</v>
      </c>
      <c r="B185">
        <v>97.270260870000001</v>
      </c>
      <c r="C185">
        <v>70.828547619000005</v>
      </c>
      <c r="D185">
        <v>62.076508197000003</v>
      </c>
      <c r="E185">
        <v>28.831227273</v>
      </c>
      <c r="F185">
        <v>32.679642856999997</v>
      </c>
      <c r="G185">
        <v>35.584229508</v>
      </c>
      <c r="H185">
        <v>82.796899999999994</v>
      </c>
      <c r="I185">
        <v>105.42668292</v>
      </c>
      <c r="J185">
        <v>101.38059016</v>
      </c>
      <c r="K185">
        <v>24.959772727000001</v>
      </c>
      <c r="L185">
        <v>75.538363636</v>
      </c>
      <c r="M185">
        <v>64.005787878999996</v>
      </c>
      <c r="N185">
        <v>32.618181817999996</v>
      </c>
      <c r="O185">
        <v>35.207119048000003</v>
      </c>
      <c r="P185">
        <v>29.758838709999999</v>
      </c>
      <c r="Q185">
        <v>284.22371428999998</v>
      </c>
      <c r="R185">
        <v>0</v>
      </c>
    </row>
    <row r="186" spans="1:18" x14ac:dyDescent="0.35">
      <c r="A186" t="s">
        <v>221</v>
      </c>
      <c r="B186">
        <v>11966.001738999999</v>
      </c>
      <c r="C186">
        <v>13387.235403999999</v>
      </c>
      <c r="D186">
        <v>12637.183016000001</v>
      </c>
      <c r="E186">
        <v>5528.8817273000004</v>
      </c>
      <c r="F186">
        <v>5473.3961429000001</v>
      </c>
      <c r="G186">
        <v>5118.9924425999998</v>
      </c>
      <c r="H186">
        <v>5168.6480000000001</v>
      </c>
      <c r="I186">
        <v>4705.9128536999997</v>
      </c>
      <c r="J186">
        <v>4467.5215245999998</v>
      </c>
      <c r="K186">
        <v>2313.9132727000001</v>
      </c>
      <c r="L186">
        <v>2670.3804318000002</v>
      </c>
      <c r="M186">
        <v>3558.6656364</v>
      </c>
      <c r="N186">
        <v>5281.4229999999998</v>
      </c>
      <c r="O186">
        <v>6447.2919762000001</v>
      </c>
      <c r="P186">
        <v>6574.5952581000001</v>
      </c>
      <c r="Q186">
        <v>6668.3538095000004</v>
      </c>
      <c r="R186">
        <v>4273.9119706000001</v>
      </c>
    </row>
    <row r="187" spans="1:18" x14ac:dyDescent="0.35">
      <c r="A187" t="s">
        <v>228</v>
      </c>
      <c r="B187">
        <v>157091.02734999999</v>
      </c>
      <c r="C187">
        <v>171224.65676000001</v>
      </c>
      <c r="D187">
        <v>187551.77927999999</v>
      </c>
      <c r="E187">
        <v>187054.40182</v>
      </c>
      <c r="F187">
        <v>196575.05600000001</v>
      </c>
      <c r="G187">
        <v>212672.36008000001</v>
      </c>
      <c r="H187">
        <v>213729.76949999999</v>
      </c>
      <c r="I187">
        <v>241382.37946</v>
      </c>
      <c r="J187">
        <v>223939.73397</v>
      </c>
      <c r="K187">
        <v>136364.17585999999</v>
      </c>
      <c r="L187">
        <v>182079.96273</v>
      </c>
      <c r="M187">
        <v>183516.07947</v>
      </c>
      <c r="N187">
        <v>170944.3075</v>
      </c>
      <c r="O187">
        <v>214982.98452</v>
      </c>
      <c r="P187">
        <v>209741.94721000001</v>
      </c>
      <c r="Q187">
        <v>219522.65562000001</v>
      </c>
      <c r="R187">
        <v>189591.2035</v>
      </c>
    </row>
    <row r="188" spans="1:18" x14ac:dyDescent="0.35">
      <c r="A188" t="s">
        <v>230</v>
      </c>
      <c r="B188">
        <v>283219.17142999999</v>
      </c>
      <c r="C188">
        <v>298685.99348</v>
      </c>
      <c r="D188">
        <v>277981.49028999999</v>
      </c>
      <c r="E188">
        <v>223357.72245</v>
      </c>
      <c r="F188">
        <v>241987.05617</v>
      </c>
      <c r="G188">
        <v>224253.31912999999</v>
      </c>
      <c r="H188">
        <v>247786.47594999999</v>
      </c>
      <c r="I188">
        <v>229126.20666</v>
      </c>
      <c r="J188">
        <v>225150.79079999999</v>
      </c>
      <c r="K188">
        <v>157958.46659</v>
      </c>
      <c r="L188">
        <v>185696.66068</v>
      </c>
      <c r="M188">
        <v>196349.48048</v>
      </c>
      <c r="N188">
        <v>236254.85167999999</v>
      </c>
      <c r="O188">
        <v>257100.77812</v>
      </c>
      <c r="P188">
        <v>260261.31112999999</v>
      </c>
      <c r="Q188">
        <v>181792.12813999999</v>
      </c>
      <c r="R188">
        <v>147445.49212000001</v>
      </c>
    </row>
    <row r="189" spans="1:18" x14ac:dyDescent="0.35">
      <c r="A189" t="s">
        <v>236</v>
      </c>
      <c r="B189">
        <v>34020.020696</v>
      </c>
      <c r="C189">
        <v>40614.610309999996</v>
      </c>
      <c r="D189">
        <v>38063.676803000002</v>
      </c>
      <c r="E189">
        <v>34440.257772999998</v>
      </c>
      <c r="F189">
        <v>38453.222857000001</v>
      </c>
      <c r="G189">
        <v>33537.634738000001</v>
      </c>
      <c r="H189">
        <v>23484.211749999999</v>
      </c>
      <c r="I189">
        <v>32633.957488</v>
      </c>
      <c r="J189">
        <v>30456.136361000001</v>
      </c>
      <c r="K189">
        <v>19990.092090999999</v>
      </c>
      <c r="L189">
        <v>28913.254364</v>
      </c>
      <c r="M189">
        <v>34891.229333000003</v>
      </c>
      <c r="N189">
        <v>20521.942818</v>
      </c>
      <c r="O189">
        <v>19380.904738000001</v>
      </c>
      <c r="P189">
        <v>18751.796483999999</v>
      </c>
      <c r="Q189">
        <v>32873.021142999998</v>
      </c>
      <c r="R189">
        <v>4693.6026764999997</v>
      </c>
    </row>
    <row r="190" spans="1:18" x14ac:dyDescent="0.35">
      <c r="A190" t="s">
        <v>80</v>
      </c>
      <c r="B190">
        <v>7688.4859999999999</v>
      </c>
      <c r="C190">
        <v>6779.2727381000004</v>
      </c>
      <c r="D190">
        <v>5968.1188689000001</v>
      </c>
      <c r="E190">
        <v>4835.9531817999996</v>
      </c>
      <c r="F190">
        <v>5413.8322857000003</v>
      </c>
      <c r="G190">
        <v>4977.3396393000003</v>
      </c>
      <c r="H190">
        <v>4350.1504500000001</v>
      </c>
      <c r="I190">
        <v>4749.0659267999999</v>
      </c>
      <c r="J190">
        <v>4889.1300656000003</v>
      </c>
      <c r="K190">
        <v>4071.0486817999999</v>
      </c>
      <c r="L190">
        <v>4588.2848181999998</v>
      </c>
      <c r="M190">
        <v>4699.6761969999998</v>
      </c>
      <c r="N190">
        <v>6801.8838636</v>
      </c>
      <c r="O190">
        <v>6488.2139524000004</v>
      </c>
      <c r="P190">
        <v>6162.3920323000002</v>
      </c>
      <c r="Q190">
        <v>5731.7736666999999</v>
      </c>
      <c r="R190">
        <v>4006.6561176</v>
      </c>
    </row>
    <row r="191" spans="1:18" x14ac:dyDescent="0.35">
      <c r="A191" t="s">
        <v>182</v>
      </c>
      <c r="B191">
        <v>362.11260870000001</v>
      </c>
      <c r="C191">
        <v>348.32635714000003</v>
      </c>
      <c r="D191">
        <v>289.97157377000002</v>
      </c>
      <c r="E191">
        <v>290.81772726999998</v>
      </c>
      <c r="F191">
        <v>220.87395237999999</v>
      </c>
      <c r="G191">
        <v>194.46873769999999</v>
      </c>
      <c r="H191">
        <v>174.93164999999999</v>
      </c>
      <c r="I191">
        <v>360.52773171000001</v>
      </c>
      <c r="J191">
        <v>330.92862294999998</v>
      </c>
      <c r="K191">
        <v>159.98940909000001</v>
      </c>
      <c r="L191">
        <v>172.28424999999999</v>
      </c>
      <c r="M191">
        <v>158.36228788</v>
      </c>
      <c r="N191">
        <v>190.92150000000001</v>
      </c>
      <c r="O191">
        <v>141.07840476000001</v>
      </c>
      <c r="P191">
        <v>143.79435484000001</v>
      </c>
      <c r="Q191">
        <v>122.59052380999999</v>
      </c>
      <c r="R191">
        <v>417.34729412000002</v>
      </c>
    </row>
    <row r="192" spans="1:18" x14ac:dyDescent="0.35">
      <c r="A192" t="s">
        <v>231</v>
      </c>
      <c r="B192">
        <v>26399.374087</v>
      </c>
      <c r="C192">
        <v>22963.014547999999</v>
      </c>
      <c r="D192">
        <v>22178.797852</v>
      </c>
      <c r="E192">
        <v>25503.770955</v>
      </c>
      <c r="F192">
        <v>25608.954643000001</v>
      </c>
      <c r="G192">
        <v>25058.324689000001</v>
      </c>
      <c r="H192">
        <v>39334.528550000003</v>
      </c>
      <c r="I192">
        <v>34535.858121999998</v>
      </c>
      <c r="J192">
        <v>32926.868802999998</v>
      </c>
      <c r="K192">
        <v>26193.575908999999</v>
      </c>
      <c r="L192">
        <v>25236.027067999999</v>
      </c>
      <c r="M192">
        <v>23419.050408999999</v>
      </c>
      <c r="N192">
        <v>18958.466726999999</v>
      </c>
      <c r="O192">
        <v>21314.172547999999</v>
      </c>
      <c r="P192">
        <v>22590.802339000002</v>
      </c>
      <c r="Q192">
        <v>28379.707952000001</v>
      </c>
      <c r="R192">
        <v>9593.9174411999993</v>
      </c>
    </row>
    <row r="193" spans="1:18" x14ac:dyDescent="0.35">
      <c r="A193" t="s">
        <v>232</v>
      </c>
      <c r="B193">
        <v>143701.53086999999</v>
      </c>
      <c r="C193">
        <v>158869.10318999999</v>
      </c>
      <c r="D193">
        <v>166825.22315999999</v>
      </c>
      <c r="E193">
        <v>134625.02536</v>
      </c>
      <c r="F193">
        <v>155318.99600000001</v>
      </c>
      <c r="G193">
        <v>160524.92533</v>
      </c>
      <c r="H193">
        <v>193444.22615</v>
      </c>
      <c r="I193">
        <v>183094.95353999999</v>
      </c>
      <c r="J193">
        <v>194162.29191999999</v>
      </c>
      <c r="K193">
        <v>133439.02523</v>
      </c>
      <c r="L193">
        <v>161486.14236</v>
      </c>
      <c r="M193">
        <v>164107.7102</v>
      </c>
      <c r="N193">
        <v>166138.04586000001</v>
      </c>
      <c r="O193">
        <v>231662.55364</v>
      </c>
      <c r="P193">
        <v>250868.78463000001</v>
      </c>
      <c r="Q193">
        <v>224452.93742999999</v>
      </c>
      <c r="R193">
        <v>202922.39924</v>
      </c>
    </row>
    <row r="194" spans="1:18" x14ac:dyDescent="0.35">
      <c r="A194" t="s">
        <v>233</v>
      </c>
      <c r="B194">
        <v>33532.067564999998</v>
      </c>
      <c r="C194">
        <v>38687.521667000001</v>
      </c>
      <c r="D194">
        <v>39745.485115000003</v>
      </c>
      <c r="E194">
        <v>29126.606273000001</v>
      </c>
      <c r="F194">
        <v>33847.116024000003</v>
      </c>
      <c r="G194">
        <v>35714.334884999997</v>
      </c>
      <c r="H194">
        <v>60613.9179</v>
      </c>
      <c r="I194">
        <v>55831.159537</v>
      </c>
      <c r="J194">
        <v>51818.616589999998</v>
      </c>
      <c r="K194">
        <v>32891.672726999997</v>
      </c>
      <c r="L194">
        <v>30487.45825</v>
      </c>
      <c r="M194">
        <v>28663.483379000001</v>
      </c>
      <c r="N194">
        <v>26886.514636</v>
      </c>
      <c r="O194">
        <v>38234.910143000001</v>
      </c>
      <c r="P194">
        <v>38967.195725999998</v>
      </c>
      <c r="Q194">
        <v>50848.617666999999</v>
      </c>
      <c r="R194">
        <v>20951.062293999999</v>
      </c>
    </row>
    <row r="195" spans="1:18" x14ac:dyDescent="0.35">
      <c r="A195" t="s">
        <v>220</v>
      </c>
      <c r="B195">
        <v>266198.93465000001</v>
      </c>
      <c r="C195">
        <v>405151.44983</v>
      </c>
      <c r="D195">
        <v>424957.07601999998</v>
      </c>
      <c r="E195">
        <v>286569.84759000002</v>
      </c>
      <c r="F195">
        <v>322265.99471</v>
      </c>
      <c r="G195">
        <v>316873.93489999999</v>
      </c>
      <c r="H195">
        <v>428384.07384999999</v>
      </c>
      <c r="I195">
        <v>428437.84987999999</v>
      </c>
      <c r="J195">
        <v>418880.66323000001</v>
      </c>
      <c r="K195">
        <v>243155.06354999999</v>
      </c>
      <c r="L195">
        <v>286584.65444999997</v>
      </c>
      <c r="M195">
        <v>284858.27705999999</v>
      </c>
      <c r="N195">
        <v>267040.60194999998</v>
      </c>
      <c r="O195">
        <v>304237.72424000001</v>
      </c>
      <c r="P195">
        <v>356363.54774000001</v>
      </c>
      <c r="Q195">
        <v>381403.47457000002</v>
      </c>
      <c r="R195">
        <v>291949.33788000001</v>
      </c>
    </row>
    <row r="196" spans="1:18" x14ac:dyDescent="0.35">
      <c r="A196" t="s">
        <v>192</v>
      </c>
      <c r="B196">
        <v>1705.3849565</v>
      </c>
      <c r="C196">
        <v>1867.6155000000001</v>
      </c>
      <c r="D196">
        <v>1881.7744425999999</v>
      </c>
      <c r="E196">
        <v>1544.5711818</v>
      </c>
      <c r="F196">
        <v>1295.9172143000001</v>
      </c>
      <c r="G196">
        <v>1270.5006885</v>
      </c>
      <c r="H196">
        <v>910.85919999999999</v>
      </c>
      <c r="I196">
        <v>890.67709755999999</v>
      </c>
      <c r="J196">
        <v>977.97531147999996</v>
      </c>
      <c r="K196">
        <v>828.74263636000001</v>
      </c>
      <c r="L196">
        <v>882.26768182000001</v>
      </c>
      <c r="M196">
        <v>981.35793938999996</v>
      </c>
      <c r="N196">
        <v>947.34013635999997</v>
      </c>
      <c r="O196">
        <v>1090.9548809999999</v>
      </c>
      <c r="P196">
        <v>1146.7574193999999</v>
      </c>
      <c r="Q196">
        <v>1696.7617143</v>
      </c>
      <c r="R196">
        <v>838.46500000000003</v>
      </c>
    </row>
    <row r="197" spans="1:18" x14ac:dyDescent="0.35">
      <c r="A197" t="s">
        <v>235</v>
      </c>
      <c r="B197">
        <v>81.564260869999998</v>
      </c>
      <c r="C197">
        <v>102.4425</v>
      </c>
      <c r="D197">
        <v>86.303491803</v>
      </c>
      <c r="E197">
        <v>33.173636363999996</v>
      </c>
      <c r="F197">
        <v>41.379333332999998</v>
      </c>
      <c r="G197">
        <v>52.777131148000002</v>
      </c>
      <c r="H197">
        <v>87.927350000000004</v>
      </c>
      <c r="I197">
        <v>99.327341462999996</v>
      </c>
      <c r="J197">
        <v>92.062885245999993</v>
      </c>
      <c r="K197">
        <v>100.46768181</v>
      </c>
      <c r="L197">
        <v>115.17090908999999</v>
      </c>
      <c r="M197">
        <v>107.23203030000001</v>
      </c>
      <c r="N197">
        <v>28.004727273</v>
      </c>
      <c r="O197">
        <v>46.99747619</v>
      </c>
      <c r="P197">
        <v>54.672596773999999</v>
      </c>
      <c r="Q197">
        <v>96.592047618999999</v>
      </c>
      <c r="R197">
        <v>197.42617647</v>
      </c>
    </row>
    <row r="198" spans="1:18" x14ac:dyDescent="0.35">
      <c r="A198" t="s">
        <v>234</v>
      </c>
      <c r="B198">
        <v>70778.295043000006</v>
      </c>
      <c r="C198">
        <v>77720.097309999997</v>
      </c>
      <c r="D198">
        <v>74609.139163999993</v>
      </c>
      <c r="E198">
        <v>65834.261954999994</v>
      </c>
      <c r="F198">
        <v>70891.963881000003</v>
      </c>
      <c r="G198">
        <v>69404.512524999998</v>
      </c>
      <c r="H198">
        <v>77945.686549999999</v>
      </c>
      <c r="I198">
        <v>73509.193243999995</v>
      </c>
      <c r="J198">
        <v>73622.594933999993</v>
      </c>
      <c r="K198">
        <v>102705.45858999999</v>
      </c>
      <c r="L198">
        <v>78185.958522999994</v>
      </c>
      <c r="M198">
        <v>75084.921984999994</v>
      </c>
      <c r="N198">
        <v>100686.41963</v>
      </c>
      <c r="O198">
        <v>104596.88288</v>
      </c>
      <c r="P198">
        <v>103380.3563</v>
      </c>
      <c r="Q198">
        <v>111858.74408999999</v>
      </c>
      <c r="R198">
        <v>159526.79441</v>
      </c>
    </row>
    <row r="199" spans="1:18" x14ac:dyDescent="0.35">
      <c r="A199" t="s">
        <v>238</v>
      </c>
      <c r="B199">
        <v>28619.761478</v>
      </c>
      <c r="C199">
        <v>30776.959905</v>
      </c>
      <c r="D199">
        <v>36936.568425999998</v>
      </c>
      <c r="E199">
        <v>25405.650682</v>
      </c>
      <c r="F199">
        <v>24096.556737999999</v>
      </c>
      <c r="G199">
        <v>24017.013361000001</v>
      </c>
      <c r="H199">
        <v>27142.420099999999</v>
      </c>
      <c r="I199">
        <v>30165.121462999999</v>
      </c>
      <c r="J199">
        <v>39090.979212999999</v>
      </c>
      <c r="K199">
        <v>42023.248409</v>
      </c>
      <c r="L199">
        <v>42458.378113999999</v>
      </c>
      <c r="M199">
        <v>42735.611894000001</v>
      </c>
      <c r="N199">
        <v>39986.560408999998</v>
      </c>
      <c r="O199">
        <v>45860.275000000001</v>
      </c>
      <c r="P199">
        <v>49901.605097</v>
      </c>
      <c r="Q199">
        <v>73387.906000000003</v>
      </c>
      <c r="R199">
        <v>36886.406882000003</v>
      </c>
    </row>
    <row r="200" spans="1:18" x14ac:dyDescent="0.35">
      <c r="A200" t="s">
        <v>82</v>
      </c>
      <c r="B200">
        <v>6336.3396087000001</v>
      </c>
      <c r="C200">
        <v>8168.5659524000002</v>
      </c>
      <c r="D200">
        <v>8948.5502458999999</v>
      </c>
      <c r="E200">
        <v>10882.507772000001</v>
      </c>
      <c r="F200">
        <v>9632.3384048000007</v>
      </c>
      <c r="G200">
        <v>9306.6441147999994</v>
      </c>
      <c r="H200">
        <v>7490.8183499999996</v>
      </c>
      <c r="I200">
        <v>7739.9573902000002</v>
      </c>
      <c r="J200">
        <v>8716.0344590000004</v>
      </c>
      <c r="K200">
        <v>7708.8755455</v>
      </c>
      <c r="L200">
        <v>7309.9929545000005</v>
      </c>
      <c r="M200">
        <v>7105.6187726999997</v>
      </c>
      <c r="N200">
        <v>8644.1878182</v>
      </c>
      <c r="O200">
        <v>8462.9907143</v>
      </c>
      <c r="P200">
        <v>8289.1244516000006</v>
      </c>
      <c r="Q200">
        <v>9470.5818571</v>
      </c>
      <c r="R200">
        <v>7930.8110293999998</v>
      </c>
    </row>
    <row r="201" spans="1:18" x14ac:dyDescent="0.35">
      <c r="A201" t="s">
        <v>237</v>
      </c>
      <c r="B201">
        <v>30711.96313</v>
      </c>
      <c r="C201">
        <v>29687.882881000001</v>
      </c>
      <c r="D201">
        <v>31280.951803</v>
      </c>
      <c r="E201">
        <v>24066.176590999999</v>
      </c>
      <c r="F201">
        <v>23526.768285999999</v>
      </c>
      <c r="G201">
        <v>21690.340671999998</v>
      </c>
      <c r="H201">
        <v>14485.6543</v>
      </c>
      <c r="I201">
        <v>15146.461341</v>
      </c>
      <c r="J201">
        <v>17168.687705</v>
      </c>
      <c r="K201">
        <v>20643.681818000001</v>
      </c>
      <c r="L201">
        <v>21783.761750000001</v>
      </c>
      <c r="M201">
        <v>24376.247076</v>
      </c>
      <c r="N201">
        <v>17722.266544999999</v>
      </c>
      <c r="O201">
        <v>22099.429786000001</v>
      </c>
      <c r="P201">
        <v>29821.124419</v>
      </c>
      <c r="Q201">
        <v>25948.456048</v>
      </c>
      <c r="R201">
        <v>17663.542235000001</v>
      </c>
    </row>
    <row r="202" spans="1:18" x14ac:dyDescent="0.35">
      <c r="A202" t="s">
        <v>176</v>
      </c>
      <c r="B202">
        <v>287622.46656999999</v>
      </c>
      <c r="C202">
        <v>329276.52851999999</v>
      </c>
      <c r="D202">
        <v>357823.40747999999</v>
      </c>
      <c r="E202">
        <v>265746.54605</v>
      </c>
      <c r="F202">
        <v>257269.64648</v>
      </c>
      <c r="G202">
        <v>300284.56092000002</v>
      </c>
      <c r="H202">
        <v>407915.36060000001</v>
      </c>
      <c r="I202">
        <v>419813.85872999998</v>
      </c>
      <c r="J202">
        <v>376154.71084000001</v>
      </c>
      <c r="K202">
        <v>276047.64350000001</v>
      </c>
      <c r="L202">
        <v>311532.34327000001</v>
      </c>
      <c r="M202">
        <v>338922.64361999999</v>
      </c>
      <c r="N202">
        <v>330144.89367999998</v>
      </c>
      <c r="O202">
        <v>386857.89792999998</v>
      </c>
      <c r="P202">
        <v>422835.45739</v>
      </c>
      <c r="Q202">
        <v>469510.99609999999</v>
      </c>
      <c r="R202">
        <v>431386.29735000001</v>
      </c>
    </row>
    <row r="203" spans="1:18" x14ac:dyDescent="0.35">
      <c r="A203" t="s">
        <v>81</v>
      </c>
      <c r="B203">
        <v>251.3243913</v>
      </c>
      <c r="C203">
        <v>387.46395238000002</v>
      </c>
      <c r="D203">
        <v>694.74316393000004</v>
      </c>
      <c r="E203">
        <v>805.61236364000001</v>
      </c>
      <c r="F203">
        <v>616.03754762000005</v>
      </c>
      <c r="G203">
        <v>935.97429508000005</v>
      </c>
      <c r="H203">
        <v>1125.4003</v>
      </c>
      <c r="I203">
        <v>786.60178049000001</v>
      </c>
      <c r="J203">
        <v>631.91060656000002</v>
      </c>
      <c r="K203">
        <v>640.18836364000003</v>
      </c>
      <c r="L203">
        <v>771.13465909000001</v>
      </c>
      <c r="M203">
        <v>685.57181818000004</v>
      </c>
      <c r="N203">
        <v>967.35486363999996</v>
      </c>
      <c r="O203">
        <v>2455.4476429000001</v>
      </c>
      <c r="P203">
        <v>3834.2529516</v>
      </c>
      <c r="Q203">
        <v>924.65257142999997</v>
      </c>
      <c r="R203">
        <v>211.55202940999999</v>
      </c>
    </row>
    <row r="204" spans="1:18" x14ac:dyDescent="0.35">
      <c r="A204" t="s">
        <v>240</v>
      </c>
      <c r="B204">
        <v>2349.4013478000002</v>
      </c>
      <c r="C204">
        <v>4119.8183571</v>
      </c>
      <c r="D204">
        <v>3570.6388852</v>
      </c>
      <c r="E204">
        <v>2527.6082273000002</v>
      </c>
      <c r="F204">
        <v>2595.1020951999999</v>
      </c>
      <c r="G204">
        <v>2907.0676884999998</v>
      </c>
      <c r="H204">
        <v>5854.0808500000003</v>
      </c>
      <c r="I204">
        <v>8291.8975609999998</v>
      </c>
      <c r="J204">
        <v>7993.3169343999998</v>
      </c>
      <c r="K204">
        <v>4414.6333635999999</v>
      </c>
      <c r="L204">
        <v>5102.9136135999997</v>
      </c>
      <c r="M204">
        <v>5766.9853939000004</v>
      </c>
      <c r="N204">
        <v>6399.9036364000003</v>
      </c>
      <c r="O204">
        <v>9486.3618571000006</v>
      </c>
      <c r="P204">
        <v>10164.743371</v>
      </c>
      <c r="Q204">
        <v>18788.468095</v>
      </c>
      <c r="R204">
        <v>8176.7802352999997</v>
      </c>
    </row>
    <row r="205" spans="1:18" x14ac:dyDescent="0.35">
      <c r="A205" t="s">
        <v>244</v>
      </c>
      <c r="B205">
        <v>7315.6490434999996</v>
      </c>
      <c r="C205">
        <v>5733.7619999999997</v>
      </c>
      <c r="D205">
        <v>4721.7019179999998</v>
      </c>
      <c r="E205">
        <v>1750.8285909000001</v>
      </c>
      <c r="F205">
        <v>1405.6248095000001</v>
      </c>
      <c r="G205">
        <v>1249.6470655999999</v>
      </c>
      <c r="H205">
        <v>816.82905000000005</v>
      </c>
      <c r="I205">
        <v>603.78065853999999</v>
      </c>
      <c r="J205">
        <v>719.84416393000004</v>
      </c>
      <c r="K205">
        <v>762.19681818000004</v>
      </c>
      <c r="L205">
        <v>456.28945455000002</v>
      </c>
      <c r="M205">
        <v>1058.6096212</v>
      </c>
      <c r="N205">
        <v>449.89954545000001</v>
      </c>
      <c r="O205">
        <v>534.27669047999996</v>
      </c>
      <c r="P205">
        <v>594.21703226</v>
      </c>
      <c r="Q205">
        <v>423.26266666999999</v>
      </c>
      <c r="R205">
        <v>49.873735293999999</v>
      </c>
    </row>
    <row r="206" spans="1:18" x14ac:dyDescent="0.35">
      <c r="A206" t="s">
        <v>243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5">
      <c r="A207" t="s">
        <v>249</v>
      </c>
      <c r="B207">
        <v>1986.4720434999999</v>
      </c>
      <c r="C207">
        <v>2850.7759047999998</v>
      </c>
      <c r="D207">
        <v>2695.1746884999998</v>
      </c>
      <c r="E207">
        <v>1629.3486817999999</v>
      </c>
      <c r="F207">
        <v>1540.1666667</v>
      </c>
      <c r="G207">
        <v>1593.9176066</v>
      </c>
      <c r="H207">
        <v>2946.5700499999998</v>
      </c>
      <c r="I207">
        <v>2758.2869267999999</v>
      </c>
      <c r="J207">
        <v>2532.4615245999998</v>
      </c>
      <c r="K207">
        <v>1805.5713182</v>
      </c>
      <c r="L207">
        <v>2076.9783409000001</v>
      </c>
      <c r="M207">
        <v>2338.5650151999998</v>
      </c>
      <c r="N207">
        <v>3155.9267727000001</v>
      </c>
      <c r="O207">
        <v>2844.9341666999999</v>
      </c>
      <c r="P207">
        <v>2479.1422419</v>
      </c>
      <c r="Q207">
        <v>2004.8123333000001</v>
      </c>
      <c r="R207">
        <v>2225.4286765000002</v>
      </c>
    </row>
    <row r="208" spans="1:18" x14ac:dyDescent="0.35">
      <c r="A208" t="s">
        <v>242</v>
      </c>
      <c r="B208">
        <v>20716.147174000002</v>
      </c>
      <c r="C208">
        <v>21699.6855</v>
      </c>
      <c r="D208">
        <v>22476.66518</v>
      </c>
      <c r="E208">
        <v>15599.610500000001</v>
      </c>
      <c r="F208">
        <v>18323.636547999999</v>
      </c>
      <c r="G208">
        <v>21567.464951000002</v>
      </c>
      <c r="H208">
        <v>30143.030449999998</v>
      </c>
      <c r="I208">
        <v>27433.911098</v>
      </c>
      <c r="J208">
        <v>29991.396081999999</v>
      </c>
      <c r="K208">
        <v>17073.171909000001</v>
      </c>
      <c r="L208">
        <v>20832.055568</v>
      </c>
      <c r="M208">
        <v>22930.688682</v>
      </c>
      <c r="N208">
        <v>19533.562364000001</v>
      </c>
      <c r="O208">
        <v>20833.551189999998</v>
      </c>
      <c r="P208">
        <v>27258.5445</v>
      </c>
      <c r="Q208">
        <v>41179.818618999998</v>
      </c>
      <c r="R208">
        <v>17382.459088</v>
      </c>
    </row>
    <row r="209" spans="1:18" x14ac:dyDescent="0.35">
      <c r="A209" t="s">
        <v>83</v>
      </c>
      <c r="B209">
        <v>37247.652261000003</v>
      </c>
      <c r="C209">
        <v>36495.644404999999</v>
      </c>
      <c r="D209">
        <v>40689.348983999997</v>
      </c>
      <c r="E209">
        <v>37257.002409000001</v>
      </c>
      <c r="F209">
        <v>43228.987667000001</v>
      </c>
      <c r="G209">
        <v>48448.357492000003</v>
      </c>
      <c r="H209">
        <v>64800.355600000003</v>
      </c>
      <c r="I209">
        <v>53981.153829000003</v>
      </c>
      <c r="J209">
        <v>48678.499098</v>
      </c>
      <c r="K209">
        <v>38233.796135999997</v>
      </c>
      <c r="L209">
        <v>38048.919249999999</v>
      </c>
      <c r="M209">
        <v>34502.445849000003</v>
      </c>
      <c r="N209">
        <v>27023.686727</v>
      </c>
      <c r="O209">
        <v>28366.246190000002</v>
      </c>
      <c r="P209">
        <v>30602.536161</v>
      </c>
      <c r="Q209">
        <v>40711.674142999997</v>
      </c>
      <c r="R209">
        <v>36863.174088</v>
      </c>
    </row>
    <row r="210" spans="1:18" x14ac:dyDescent="0.35">
      <c r="A210" t="s">
        <v>247</v>
      </c>
      <c r="B210">
        <v>151511.54634</v>
      </c>
      <c r="C210">
        <v>201294.83991000001</v>
      </c>
      <c r="D210">
        <v>208246.86564999999</v>
      </c>
      <c r="E210">
        <v>138290.73645</v>
      </c>
      <c r="F210">
        <v>158898.31081</v>
      </c>
      <c r="G210">
        <v>156836.98313000001</v>
      </c>
      <c r="H210">
        <v>157311.78868</v>
      </c>
      <c r="I210">
        <v>179048.25904999999</v>
      </c>
      <c r="J210">
        <v>175118.93607</v>
      </c>
      <c r="K210">
        <v>177067.92483999999</v>
      </c>
      <c r="L210">
        <v>195038.15656</v>
      </c>
      <c r="M210">
        <v>181768.35814</v>
      </c>
      <c r="N210">
        <v>207581.84865</v>
      </c>
      <c r="O210">
        <v>203116.11671</v>
      </c>
      <c r="P210">
        <v>228332.22849000001</v>
      </c>
      <c r="Q210">
        <v>271294.20331000001</v>
      </c>
      <c r="R210">
        <v>163604.29577</v>
      </c>
    </row>
    <row r="211" spans="1:18" x14ac:dyDescent="0.35">
      <c r="A211" t="s">
        <v>470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57.135467742000003</v>
      </c>
      <c r="Q211">
        <v>0</v>
      </c>
      <c r="R211">
        <v>0</v>
      </c>
    </row>
    <row r="212" spans="1:18" x14ac:dyDescent="0.35">
      <c r="A212" t="s">
        <v>471</v>
      </c>
      <c r="B212">
        <v>40327.081260999999</v>
      </c>
      <c r="C212">
        <v>49937.856048000001</v>
      </c>
      <c r="D212">
        <v>49665.761885</v>
      </c>
      <c r="E212">
        <v>46187.941636000003</v>
      </c>
      <c r="F212">
        <v>55406.072095000003</v>
      </c>
      <c r="G212">
        <v>57341.135376999999</v>
      </c>
      <c r="H212">
        <v>81104.103700000007</v>
      </c>
      <c r="I212">
        <v>186226.00216999999</v>
      </c>
      <c r="J212">
        <v>155552.73800000001</v>
      </c>
      <c r="K212">
        <v>89637.787909000006</v>
      </c>
      <c r="L212">
        <v>92735.916568000001</v>
      </c>
      <c r="M212">
        <v>86567.904985000001</v>
      </c>
      <c r="N212">
        <v>88767.334954999998</v>
      </c>
      <c r="O212">
        <v>126715.29904</v>
      </c>
      <c r="P212">
        <v>124062.64435</v>
      </c>
      <c r="Q212">
        <v>144251.73170999999</v>
      </c>
      <c r="R212">
        <v>125259.74397</v>
      </c>
    </row>
    <row r="213" spans="1:18" x14ac:dyDescent="0.35">
      <c r="A213" t="s">
        <v>248</v>
      </c>
      <c r="B213">
        <v>28800.409825999999</v>
      </c>
      <c r="C213">
        <v>33445.635499999997</v>
      </c>
      <c r="D213">
        <v>33602.546918</v>
      </c>
      <c r="E213">
        <v>30516.344272999999</v>
      </c>
      <c r="F213">
        <v>30196.889595000001</v>
      </c>
      <c r="G213">
        <v>30032.175999999999</v>
      </c>
      <c r="H213">
        <v>37381.924550000003</v>
      </c>
      <c r="I213">
        <v>32870.421854</v>
      </c>
      <c r="J213">
        <v>33730.470917999999</v>
      </c>
      <c r="K213">
        <v>31911.4925</v>
      </c>
      <c r="L213">
        <v>34569.355044999997</v>
      </c>
      <c r="M213">
        <v>33238.737681999999</v>
      </c>
      <c r="N213">
        <v>33302.679182</v>
      </c>
      <c r="O213">
        <v>32703.477167000001</v>
      </c>
      <c r="P213">
        <v>37731.678565000002</v>
      </c>
      <c r="Q213">
        <v>49220.426095000003</v>
      </c>
      <c r="R213">
        <v>23744.726764999999</v>
      </c>
    </row>
    <row r="214" spans="1:18" x14ac:dyDescent="0.35">
      <c r="A214" t="s">
        <v>241</v>
      </c>
      <c r="B214">
        <v>7147.1989565000003</v>
      </c>
      <c r="C214">
        <v>7747.4626189999999</v>
      </c>
      <c r="D214">
        <v>7264.8925902000001</v>
      </c>
      <c r="E214">
        <v>4053.6453182</v>
      </c>
      <c r="F214">
        <v>4512.5094523999996</v>
      </c>
      <c r="G214">
        <v>5074.5223933999996</v>
      </c>
      <c r="H214">
        <v>10248.223400000001</v>
      </c>
      <c r="I214">
        <v>10183.845463</v>
      </c>
      <c r="J214">
        <v>8380.6867868999998</v>
      </c>
      <c r="K214">
        <v>4204.0079090999998</v>
      </c>
      <c r="L214">
        <v>4234.5061136000004</v>
      </c>
      <c r="M214">
        <v>4060.2562423999998</v>
      </c>
      <c r="N214">
        <v>3792.0019545</v>
      </c>
      <c r="O214">
        <v>7179.6928095000003</v>
      </c>
      <c r="P214">
        <v>7327.2325000000001</v>
      </c>
      <c r="Q214">
        <v>6107.9867618999997</v>
      </c>
      <c r="R214">
        <v>3715.8584117999999</v>
      </c>
    </row>
    <row r="215" spans="1:18" x14ac:dyDescent="0.35">
      <c r="A215" t="s">
        <v>109</v>
      </c>
      <c r="B215">
        <v>17226.380434999999</v>
      </c>
      <c r="C215">
        <v>21917.001404999999</v>
      </c>
      <c r="D215">
        <v>20695.272131000002</v>
      </c>
      <c r="E215">
        <v>12560.595227</v>
      </c>
      <c r="F215">
        <v>21981.264428999999</v>
      </c>
      <c r="G215">
        <v>22886.950573999999</v>
      </c>
      <c r="H215">
        <v>55241.779549999999</v>
      </c>
      <c r="I215">
        <v>83226.942219000004</v>
      </c>
      <c r="J215">
        <v>82047.823655999993</v>
      </c>
      <c r="K215">
        <v>48646.390272999997</v>
      </c>
      <c r="L215">
        <v>42533.081431999999</v>
      </c>
      <c r="M215">
        <v>45939.309181999997</v>
      </c>
      <c r="N215">
        <v>89459.144409</v>
      </c>
      <c r="O215">
        <v>53555.839356999997</v>
      </c>
      <c r="P215">
        <v>36279.762145000001</v>
      </c>
      <c r="Q215">
        <v>0</v>
      </c>
      <c r="R215">
        <v>0</v>
      </c>
    </row>
    <row r="216" spans="1:18" x14ac:dyDescent="0.35">
      <c r="A216" t="s">
        <v>245</v>
      </c>
      <c r="B216">
        <v>118827.00264999999</v>
      </c>
      <c r="C216">
        <v>98465.509833000004</v>
      </c>
      <c r="D216">
        <v>86861.164130999998</v>
      </c>
      <c r="E216">
        <v>69038.123909000002</v>
      </c>
      <c r="F216">
        <v>64534.593024000002</v>
      </c>
      <c r="G216">
        <v>63419.390590000003</v>
      </c>
      <c r="H216">
        <v>54328.414649999999</v>
      </c>
      <c r="I216">
        <v>71772.032804999995</v>
      </c>
      <c r="J216">
        <v>65790.474738000004</v>
      </c>
      <c r="K216">
        <v>39082.912955</v>
      </c>
      <c r="L216">
        <v>55061.821250000001</v>
      </c>
      <c r="M216">
        <v>72982.9185</v>
      </c>
      <c r="N216">
        <v>5747.8292726999998</v>
      </c>
      <c r="O216">
        <v>3010.7677143000001</v>
      </c>
      <c r="P216">
        <v>2039.5523226</v>
      </c>
      <c r="Q216">
        <v>0</v>
      </c>
      <c r="R216">
        <v>0</v>
      </c>
    </row>
    <row r="217" spans="1:18" x14ac:dyDescent="0.35">
      <c r="A217" t="s">
        <v>239</v>
      </c>
      <c r="B217">
        <v>314429.08003999997</v>
      </c>
      <c r="C217">
        <v>363823.06037999998</v>
      </c>
      <c r="D217">
        <v>415150.14153999998</v>
      </c>
      <c r="E217">
        <v>303055.96859</v>
      </c>
      <c r="F217">
        <v>318383.32413999998</v>
      </c>
      <c r="G217">
        <v>313103.40814999997</v>
      </c>
      <c r="H217">
        <v>329871.71970000002</v>
      </c>
      <c r="I217">
        <v>321961.71122</v>
      </c>
      <c r="J217">
        <v>332502.924</v>
      </c>
      <c r="K217">
        <v>212415.63464</v>
      </c>
      <c r="L217">
        <v>222331.16589</v>
      </c>
      <c r="M217">
        <v>227807.56302</v>
      </c>
      <c r="N217">
        <v>221328.20058999999</v>
      </c>
      <c r="O217">
        <v>253937.45097999999</v>
      </c>
      <c r="P217">
        <v>305113.36894999997</v>
      </c>
      <c r="Q217">
        <v>308779.92176</v>
      </c>
      <c r="R217">
        <v>212616.66044000001</v>
      </c>
    </row>
    <row r="218" spans="1:18" x14ac:dyDescent="0.35">
      <c r="A218" t="s">
        <v>84</v>
      </c>
      <c r="B218">
        <v>55315.396782999997</v>
      </c>
      <c r="C218">
        <v>63735.7045</v>
      </c>
      <c r="D218">
        <v>68039.940885000004</v>
      </c>
      <c r="E218">
        <v>61017.732636000001</v>
      </c>
      <c r="F218">
        <v>54208.736524</v>
      </c>
      <c r="G218">
        <v>54444.701426</v>
      </c>
      <c r="H218">
        <v>58127.721299999997</v>
      </c>
      <c r="I218">
        <v>64273.476293</v>
      </c>
      <c r="J218">
        <v>61102.015115000002</v>
      </c>
      <c r="K218">
        <v>38461.210363999999</v>
      </c>
      <c r="L218">
        <v>56550.940659</v>
      </c>
      <c r="M218">
        <v>57064.246758000001</v>
      </c>
      <c r="N218">
        <v>56421.878955</v>
      </c>
      <c r="O218">
        <v>87618.588048000005</v>
      </c>
      <c r="P218">
        <v>92091.450838999997</v>
      </c>
      <c r="Q218">
        <v>83548.099856999994</v>
      </c>
      <c r="R218">
        <v>81662.348765000002</v>
      </c>
    </row>
    <row r="219" spans="1:18" x14ac:dyDescent="0.35">
      <c r="A219" t="s">
        <v>85</v>
      </c>
      <c r="B219">
        <v>2350.9561303999999</v>
      </c>
      <c r="C219">
        <v>2973.9251666999999</v>
      </c>
      <c r="D219">
        <v>3021.7088524999999</v>
      </c>
      <c r="E219">
        <v>1864.1077273000001</v>
      </c>
      <c r="F219">
        <v>1811.453</v>
      </c>
      <c r="G219">
        <v>1743.9845574000001</v>
      </c>
      <c r="H219">
        <v>2617.03865</v>
      </c>
      <c r="I219">
        <v>3044.4624146000001</v>
      </c>
      <c r="J219">
        <v>2576.2901474999999</v>
      </c>
      <c r="K219">
        <v>2890.7125000000001</v>
      </c>
      <c r="L219">
        <v>2374.6374317999998</v>
      </c>
      <c r="M219">
        <v>2310.7782424000002</v>
      </c>
      <c r="N219">
        <v>1168.3553635999999</v>
      </c>
      <c r="O219">
        <v>1373.8867619</v>
      </c>
      <c r="P219">
        <v>1439.3261613</v>
      </c>
      <c r="Q219">
        <v>2849.9671905</v>
      </c>
      <c r="R219">
        <v>1142.4252059</v>
      </c>
    </row>
    <row r="220" spans="1:18" x14ac:dyDescent="0.35">
      <c r="A220" t="s">
        <v>86</v>
      </c>
      <c r="B220">
        <v>211.33304347999999</v>
      </c>
      <c r="C220">
        <v>181.53997619</v>
      </c>
      <c r="D220">
        <v>170.25268851999999</v>
      </c>
      <c r="E220">
        <v>141.40527273000001</v>
      </c>
      <c r="F220">
        <v>121.99214284999999</v>
      </c>
      <c r="G220">
        <v>107.30814753999999</v>
      </c>
      <c r="H220">
        <v>167.5479</v>
      </c>
      <c r="I220">
        <v>126.18219512</v>
      </c>
      <c r="J220">
        <v>171.29824590000001</v>
      </c>
      <c r="K220">
        <v>332.71249999999998</v>
      </c>
      <c r="L220">
        <v>224.76293182000001</v>
      </c>
      <c r="M220">
        <v>181.95466666999999</v>
      </c>
      <c r="N220">
        <v>62.086545455</v>
      </c>
      <c r="O220">
        <v>76.924880951999995</v>
      </c>
      <c r="P220">
        <v>89.970435484000006</v>
      </c>
      <c r="Q220">
        <v>211.87838095000001</v>
      </c>
      <c r="R220">
        <v>59.553205882</v>
      </c>
    </row>
    <row r="221" spans="1:18" x14ac:dyDescent="0.35">
      <c r="A221" t="s">
        <v>251</v>
      </c>
      <c r="B221">
        <v>40582.378042999997</v>
      </c>
      <c r="C221">
        <v>51618.015786000004</v>
      </c>
      <c r="D221">
        <v>50559.030343999999</v>
      </c>
      <c r="E221">
        <v>34506.319908999998</v>
      </c>
      <c r="F221">
        <v>37615.251475999998</v>
      </c>
      <c r="G221">
        <v>37520.635458999997</v>
      </c>
      <c r="H221">
        <v>31634.340400000001</v>
      </c>
      <c r="I221">
        <v>39854.409537</v>
      </c>
      <c r="J221">
        <v>41759.379820000002</v>
      </c>
      <c r="K221">
        <v>36614.857273000001</v>
      </c>
      <c r="L221">
        <v>38321.808955</v>
      </c>
      <c r="M221">
        <v>39820.867423999996</v>
      </c>
      <c r="N221">
        <v>50162.733818000001</v>
      </c>
      <c r="O221">
        <v>51586.957285999997</v>
      </c>
      <c r="P221">
        <v>55965.763355000003</v>
      </c>
      <c r="Q221">
        <v>60118.571429000003</v>
      </c>
      <c r="R221">
        <v>81402.830352999998</v>
      </c>
    </row>
    <row r="222" spans="1:18" x14ac:dyDescent="0.35">
      <c r="A222" t="s">
        <v>254</v>
      </c>
      <c r="B222">
        <v>1959.7896957</v>
      </c>
      <c r="C222">
        <v>4727.8923570999996</v>
      </c>
      <c r="D222">
        <v>4887.5508852000003</v>
      </c>
      <c r="E222">
        <v>3551.8514091000002</v>
      </c>
      <c r="F222">
        <v>3689.5651189999999</v>
      </c>
      <c r="G222">
        <v>3852.3589179999999</v>
      </c>
      <c r="H222">
        <v>4947.9791999999998</v>
      </c>
      <c r="I222">
        <v>7473.5761462999999</v>
      </c>
      <c r="J222">
        <v>6870.6287541000002</v>
      </c>
      <c r="K222">
        <v>7047.1025</v>
      </c>
      <c r="L222">
        <v>8523.8998408999996</v>
      </c>
      <c r="M222">
        <v>8654.8039241999995</v>
      </c>
      <c r="N222">
        <v>13293.606136</v>
      </c>
      <c r="O222">
        <v>14404.313142000001</v>
      </c>
      <c r="P222">
        <v>13201.144967</v>
      </c>
      <c r="Q222">
        <v>10119.163857</v>
      </c>
      <c r="R222">
        <v>6942.7077353000004</v>
      </c>
    </row>
    <row r="223" spans="1:18" x14ac:dyDescent="0.35">
      <c r="A223" t="s">
        <v>257</v>
      </c>
      <c r="B223">
        <v>6851.0114782999999</v>
      </c>
      <c r="C223">
        <v>7833.7336905000002</v>
      </c>
      <c r="D223">
        <v>8486.8065081999994</v>
      </c>
      <c r="E223">
        <v>5728.6570000000002</v>
      </c>
      <c r="F223">
        <v>6315.2746189999998</v>
      </c>
      <c r="G223">
        <v>7267.7142623</v>
      </c>
      <c r="H223">
        <v>8097.8124500000004</v>
      </c>
      <c r="I223">
        <v>8579.8886340999998</v>
      </c>
      <c r="J223">
        <v>9237.3196721000004</v>
      </c>
      <c r="K223">
        <v>9255.3739091000007</v>
      </c>
      <c r="L223">
        <v>8868.7951818000001</v>
      </c>
      <c r="M223">
        <v>8063.8506364000004</v>
      </c>
      <c r="N223">
        <v>7505.5702272999997</v>
      </c>
      <c r="O223">
        <v>8282.6557142999991</v>
      </c>
      <c r="P223">
        <v>7593.9628387000002</v>
      </c>
      <c r="Q223">
        <v>7480.5381905000004</v>
      </c>
      <c r="R223">
        <v>7771.2021765</v>
      </c>
    </row>
    <row r="224" spans="1:18" x14ac:dyDescent="0.35">
      <c r="A224" t="s">
        <v>252</v>
      </c>
      <c r="B224">
        <v>124567.07812999999</v>
      </c>
      <c r="C224">
        <v>131224.12419</v>
      </c>
      <c r="D224">
        <v>131355.4112</v>
      </c>
      <c r="E224">
        <v>116055.851</v>
      </c>
      <c r="F224">
        <v>125648.44604</v>
      </c>
      <c r="G224">
        <v>124639.46571999999</v>
      </c>
      <c r="H224">
        <v>111621.43184999999</v>
      </c>
      <c r="I224">
        <v>125969.11603999999</v>
      </c>
      <c r="J224">
        <v>130949.18114</v>
      </c>
      <c r="K224">
        <v>124288.06886</v>
      </c>
      <c r="L224">
        <v>124311.23125</v>
      </c>
      <c r="M224">
        <v>124975.86903</v>
      </c>
      <c r="N224">
        <v>151025.44785999999</v>
      </c>
      <c r="O224">
        <v>149310.07978999999</v>
      </c>
      <c r="P224">
        <v>154425.72369000001</v>
      </c>
      <c r="Q224">
        <v>165525.73362000001</v>
      </c>
      <c r="R224">
        <v>164569.13071</v>
      </c>
    </row>
    <row r="225" spans="1:18" x14ac:dyDescent="0.35">
      <c r="A225" t="s">
        <v>255</v>
      </c>
      <c r="B225">
        <v>93759.849000000002</v>
      </c>
      <c r="C225">
        <v>127667.30911</v>
      </c>
      <c r="D225">
        <v>121487.12398</v>
      </c>
      <c r="E225">
        <v>97898.618499999997</v>
      </c>
      <c r="F225">
        <v>137451.99601999999</v>
      </c>
      <c r="G225">
        <v>137395.67358999999</v>
      </c>
      <c r="H225">
        <v>120949.28939999999</v>
      </c>
      <c r="I225">
        <v>152233.13146</v>
      </c>
      <c r="J225">
        <v>140376.16125999999</v>
      </c>
      <c r="K225">
        <v>129134.8959</v>
      </c>
      <c r="L225">
        <v>131837.25407</v>
      </c>
      <c r="M225">
        <v>121723.26437</v>
      </c>
      <c r="N225">
        <v>110837.87222</v>
      </c>
      <c r="O225">
        <v>116588.41572999999</v>
      </c>
      <c r="P225">
        <v>120177.22818999999</v>
      </c>
      <c r="Q225">
        <v>153688.38381</v>
      </c>
      <c r="R225">
        <v>124287.86414000001</v>
      </c>
    </row>
    <row r="226" spans="1:18" x14ac:dyDescent="0.35">
      <c r="A226" t="s">
        <v>256</v>
      </c>
      <c r="B226">
        <v>2785.6479565</v>
      </c>
      <c r="C226">
        <v>2932.8373571000002</v>
      </c>
      <c r="D226">
        <v>2927.2124097999999</v>
      </c>
      <c r="E226">
        <v>3381.8035</v>
      </c>
      <c r="F226">
        <v>2898.6419286</v>
      </c>
      <c r="G226">
        <v>3058.5074261999998</v>
      </c>
      <c r="H226">
        <v>3615.3202000000001</v>
      </c>
      <c r="I226">
        <v>4406.7620244</v>
      </c>
      <c r="J226">
        <v>4167.6568033000003</v>
      </c>
      <c r="K226">
        <v>2437.6250454999999</v>
      </c>
      <c r="L226">
        <v>2268.8760000000002</v>
      </c>
      <c r="M226">
        <v>2410.8330000000001</v>
      </c>
      <c r="N226">
        <v>3899.1685908999998</v>
      </c>
      <c r="O226">
        <v>3688.3389999999999</v>
      </c>
      <c r="P226">
        <v>3495.7558709999998</v>
      </c>
      <c r="Q226">
        <v>2305.1941904999999</v>
      </c>
      <c r="R226">
        <v>1570.0177940999999</v>
      </c>
    </row>
    <row r="227" spans="1:18" x14ac:dyDescent="0.35">
      <c r="A227" t="s">
        <v>258</v>
      </c>
      <c r="B227">
        <v>56206.993564999997</v>
      </c>
      <c r="C227">
        <v>55362.202713999999</v>
      </c>
      <c r="D227">
        <v>65389.179196999998</v>
      </c>
      <c r="E227">
        <v>79646.958455</v>
      </c>
      <c r="F227">
        <v>72519.588428999996</v>
      </c>
      <c r="G227">
        <v>67647.938328000004</v>
      </c>
      <c r="H227">
        <v>50794.160250000001</v>
      </c>
      <c r="I227">
        <v>49235.633292999999</v>
      </c>
      <c r="J227">
        <v>45572.759393</v>
      </c>
      <c r="K227">
        <v>31288.378045000001</v>
      </c>
      <c r="L227">
        <v>39538.441545000001</v>
      </c>
      <c r="M227">
        <v>42188.029908999997</v>
      </c>
      <c r="N227">
        <v>59009.777409000002</v>
      </c>
      <c r="O227">
        <v>52235.444190000002</v>
      </c>
      <c r="P227">
        <v>55187.366532</v>
      </c>
      <c r="Q227">
        <v>52136.599238000003</v>
      </c>
      <c r="R227">
        <v>99428.095117999997</v>
      </c>
    </row>
    <row r="228" spans="1:18" x14ac:dyDescent="0.35">
      <c r="A228" t="s">
        <v>184</v>
      </c>
      <c r="B228">
        <v>12289.728042999999</v>
      </c>
      <c r="C228">
        <v>11501.9733</v>
      </c>
      <c r="D228">
        <v>10334.463669000001</v>
      </c>
      <c r="E228">
        <v>10952.910431</v>
      </c>
      <c r="F228">
        <v>7951.5382425999996</v>
      </c>
      <c r="G228">
        <v>7262.6078004999999</v>
      </c>
      <c r="H228">
        <v>9509.1146774999997</v>
      </c>
      <c r="I228">
        <v>7390.6009998</v>
      </c>
      <c r="J228">
        <v>7012.5811942999999</v>
      </c>
      <c r="K228">
        <v>5174.5233099999996</v>
      </c>
      <c r="L228">
        <v>5442.3881351999999</v>
      </c>
      <c r="M228">
        <v>6513.4072624</v>
      </c>
      <c r="N228">
        <v>18629.249619999999</v>
      </c>
      <c r="O228">
        <v>15998.356922999999</v>
      </c>
      <c r="P228">
        <v>13493.813662</v>
      </c>
      <c r="Q228">
        <v>17379.532261</v>
      </c>
      <c r="R228">
        <v>35735.826632999997</v>
      </c>
    </row>
    <row r="229" spans="1:18" x14ac:dyDescent="0.35">
      <c r="A229" t="s">
        <v>250</v>
      </c>
      <c r="B229">
        <v>8690.2850435</v>
      </c>
      <c r="C229">
        <v>14341.948881</v>
      </c>
      <c r="D229">
        <v>15521.867114000001</v>
      </c>
      <c r="E229">
        <v>15244.281136</v>
      </c>
      <c r="F229">
        <v>19304.342928999999</v>
      </c>
      <c r="G229">
        <v>17762.455344000002</v>
      </c>
      <c r="H229">
        <v>21290.044300000001</v>
      </c>
      <c r="I229">
        <v>22030.597658999999</v>
      </c>
      <c r="J229">
        <v>25609.180294999998</v>
      </c>
      <c r="K229">
        <v>15530.41109</v>
      </c>
      <c r="L229">
        <v>15375.394931000001</v>
      </c>
      <c r="M229">
        <v>15179.193121</v>
      </c>
      <c r="N229">
        <v>15035.436636</v>
      </c>
      <c r="O229">
        <v>17953.622381000001</v>
      </c>
      <c r="P229">
        <v>18785.097645000002</v>
      </c>
      <c r="Q229">
        <v>21038.338381000001</v>
      </c>
      <c r="R229">
        <v>24325.166940999999</v>
      </c>
    </row>
    <row r="230" spans="1:18" x14ac:dyDescent="0.35">
      <c r="A230" t="s">
        <v>92</v>
      </c>
      <c r="B230">
        <v>12378.700999999999</v>
      </c>
      <c r="C230">
        <v>15147.232214</v>
      </c>
      <c r="D230">
        <v>17729.651819999999</v>
      </c>
      <c r="E230">
        <v>13216.545818000001</v>
      </c>
      <c r="F230">
        <v>10498.404976</v>
      </c>
      <c r="G230">
        <v>12005.495901</v>
      </c>
      <c r="H230">
        <v>26470.633000000002</v>
      </c>
      <c r="I230">
        <v>18889.268585000002</v>
      </c>
      <c r="J230">
        <v>15052.900589999999</v>
      </c>
      <c r="K230">
        <v>8221.1605455000008</v>
      </c>
      <c r="L230">
        <v>9795.7720227000009</v>
      </c>
      <c r="M230">
        <v>9882.0817423999997</v>
      </c>
      <c r="N230">
        <v>9349.5829090999996</v>
      </c>
      <c r="O230">
        <v>12088.666095</v>
      </c>
      <c r="P230">
        <v>11705.671467</v>
      </c>
      <c r="Q230">
        <v>17708.233618999999</v>
      </c>
      <c r="R230">
        <v>12264.039941000001</v>
      </c>
    </row>
    <row r="231" spans="1:18" x14ac:dyDescent="0.35">
      <c r="A231" t="s">
        <v>87</v>
      </c>
      <c r="B231">
        <v>44.068043478</v>
      </c>
      <c r="C231">
        <v>52.429904762</v>
      </c>
      <c r="D231">
        <v>85.019016393000001</v>
      </c>
      <c r="E231">
        <v>93.569590908999999</v>
      </c>
      <c r="F231">
        <v>83.988547619000002</v>
      </c>
      <c r="G231">
        <v>86.038442622999995</v>
      </c>
      <c r="H231">
        <v>111.9842</v>
      </c>
      <c r="I231">
        <v>112.41675609000001</v>
      </c>
      <c r="J231">
        <v>86.977245902000007</v>
      </c>
      <c r="K231">
        <v>41.373545454999999</v>
      </c>
      <c r="L231">
        <v>34.912068181999999</v>
      </c>
      <c r="M231">
        <v>44.927545455000001</v>
      </c>
      <c r="N231">
        <v>78.595681818000003</v>
      </c>
      <c r="O231">
        <v>78.865690475999997</v>
      </c>
      <c r="P231">
        <v>69.229193547999998</v>
      </c>
      <c r="Q231">
        <v>64.204523809999998</v>
      </c>
      <c r="R231">
        <v>17.232647059000001</v>
      </c>
    </row>
    <row r="232" spans="1:18" x14ac:dyDescent="0.35">
      <c r="A232" t="s">
        <v>260</v>
      </c>
      <c r="B232">
        <v>93111.336739000006</v>
      </c>
      <c r="C232">
        <v>106754.55885</v>
      </c>
      <c r="D232">
        <v>111249.06104</v>
      </c>
      <c r="E232">
        <v>97589.993136000005</v>
      </c>
      <c r="F232">
        <v>109807.06522999999</v>
      </c>
      <c r="G232">
        <v>110984.84106000001</v>
      </c>
      <c r="H232">
        <v>102215.6918</v>
      </c>
      <c r="I232">
        <v>109136.12095</v>
      </c>
      <c r="J232">
        <v>99246.376917999994</v>
      </c>
      <c r="K232">
        <v>84709.494909000001</v>
      </c>
      <c r="L232">
        <v>91016.348045000006</v>
      </c>
      <c r="M232">
        <v>97788.118000000002</v>
      </c>
      <c r="N232">
        <v>180846.77567999999</v>
      </c>
      <c r="O232">
        <v>171287.06774</v>
      </c>
      <c r="P232">
        <v>159356.30257999999</v>
      </c>
      <c r="Q232">
        <v>138339.00180999999</v>
      </c>
      <c r="R232">
        <v>324619.23965</v>
      </c>
    </row>
    <row r="233" spans="1:18" x14ac:dyDescent="0.35">
      <c r="A233" t="s">
        <v>259</v>
      </c>
      <c r="B233">
        <v>6689.9048260999998</v>
      </c>
      <c r="C233">
        <v>9275.7631904999998</v>
      </c>
      <c r="D233">
        <v>9001.9624753999997</v>
      </c>
      <c r="E233">
        <v>5416.5182727000001</v>
      </c>
      <c r="F233">
        <v>5442.1851189999998</v>
      </c>
      <c r="G233">
        <v>8416.7709343999995</v>
      </c>
      <c r="H233">
        <v>7441.5947500000002</v>
      </c>
      <c r="I233">
        <v>7953.6622682999996</v>
      </c>
      <c r="J233">
        <v>7699.3501638999996</v>
      </c>
      <c r="K233">
        <v>6307.8966817999999</v>
      </c>
      <c r="L233">
        <v>8928.9329545000001</v>
      </c>
      <c r="M233">
        <v>10471.991105999999</v>
      </c>
      <c r="N233">
        <v>15778.149363</v>
      </c>
      <c r="O233">
        <v>16050.639905</v>
      </c>
      <c r="P233">
        <v>19106.197660999998</v>
      </c>
      <c r="Q233">
        <v>16332.071048</v>
      </c>
      <c r="R233">
        <v>8066.6495000000004</v>
      </c>
    </row>
    <row r="234" spans="1:18" x14ac:dyDescent="0.35">
      <c r="A234" t="s">
        <v>262</v>
      </c>
      <c r="B234">
        <v>2155.3706522000002</v>
      </c>
      <c r="C234">
        <v>2086.025619</v>
      </c>
      <c r="D234">
        <v>2007.7996066000001</v>
      </c>
      <c r="E234">
        <v>1229.0710908999999</v>
      </c>
      <c r="F234">
        <v>1294.4874761999999</v>
      </c>
      <c r="G234">
        <v>1240.6680328</v>
      </c>
      <c r="H234">
        <v>1826.2827500000001</v>
      </c>
      <c r="I234">
        <v>1809.0616098</v>
      </c>
      <c r="J234">
        <v>2096.9639999999999</v>
      </c>
      <c r="K234">
        <v>1586.1056818</v>
      </c>
      <c r="L234">
        <v>2032.2898863999999</v>
      </c>
      <c r="M234">
        <v>2580.8843636000001</v>
      </c>
      <c r="N234">
        <v>3500.9174091</v>
      </c>
      <c r="O234">
        <v>4346.7618333</v>
      </c>
      <c r="P234">
        <v>4084.2351128999999</v>
      </c>
      <c r="Q234">
        <v>3033.7183332999998</v>
      </c>
      <c r="R234">
        <v>3629.3306471000001</v>
      </c>
    </row>
    <row r="235" spans="1:18" x14ac:dyDescent="0.35">
      <c r="A235" t="s">
        <v>88</v>
      </c>
      <c r="B235">
        <v>89982.146391000002</v>
      </c>
      <c r="C235">
        <v>83610.593357000005</v>
      </c>
      <c r="D235">
        <v>79118.396311999997</v>
      </c>
      <c r="E235">
        <v>64962.578681999999</v>
      </c>
      <c r="F235">
        <v>66966.996832999997</v>
      </c>
      <c r="G235">
        <v>64303.627262000002</v>
      </c>
      <c r="H235">
        <v>85232.770499999999</v>
      </c>
      <c r="I235">
        <v>68176.157487999997</v>
      </c>
      <c r="J235">
        <v>70531.738622999997</v>
      </c>
      <c r="K235">
        <v>59365.444181999999</v>
      </c>
      <c r="L235">
        <v>59796.222091000003</v>
      </c>
      <c r="M235">
        <v>55384.883212000001</v>
      </c>
      <c r="N235">
        <v>83559.506773000001</v>
      </c>
      <c r="O235">
        <v>70179.839118999997</v>
      </c>
      <c r="P235">
        <v>68610.691112999993</v>
      </c>
      <c r="Q235">
        <v>93950.006095000004</v>
      </c>
      <c r="R235">
        <v>80782.847118000005</v>
      </c>
    </row>
    <row r="236" spans="1:18" x14ac:dyDescent="0.35">
      <c r="A236" t="s">
        <v>263</v>
      </c>
      <c r="B236">
        <v>1357835.8770999999</v>
      </c>
      <c r="C236">
        <v>1320092.0560000001</v>
      </c>
      <c r="D236">
        <v>1329027.1412</v>
      </c>
      <c r="E236">
        <v>1843015.6217</v>
      </c>
      <c r="F236">
        <v>1748450.4084999999</v>
      </c>
      <c r="G236">
        <v>1589576.6784999999</v>
      </c>
      <c r="H236">
        <v>1350419.7208</v>
      </c>
      <c r="I236">
        <v>1097387.7971999999</v>
      </c>
      <c r="J236">
        <v>1106643.6995999999</v>
      </c>
      <c r="K236">
        <v>1375565.6871</v>
      </c>
      <c r="L236">
        <v>1242359.5341</v>
      </c>
      <c r="M236">
        <v>1129406.7504</v>
      </c>
      <c r="N236">
        <v>1262534.5844000001</v>
      </c>
      <c r="O236">
        <v>1354987.1216</v>
      </c>
      <c r="P236">
        <v>1500666.5375999999</v>
      </c>
      <c r="Q236">
        <v>2847424.0547000002</v>
      </c>
      <c r="R236">
        <v>1254406.7596</v>
      </c>
    </row>
    <row r="237" spans="1:18" x14ac:dyDescent="0.35">
      <c r="A237" t="s">
        <v>89</v>
      </c>
      <c r="B237">
        <v>73428.870913000006</v>
      </c>
      <c r="C237">
        <v>66371.671071000004</v>
      </c>
      <c r="D237">
        <v>65682.893131000004</v>
      </c>
      <c r="E237">
        <v>22927.062635999999</v>
      </c>
      <c r="F237">
        <v>31627.461213999999</v>
      </c>
      <c r="G237">
        <v>38938.902902000002</v>
      </c>
      <c r="H237">
        <v>57859.209199999998</v>
      </c>
      <c r="I237">
        <v>61530.441976000002</v>
      </c>
      <c r="J237">
        <v>67587.392393000002</v>
      </c>
      <c r="K237">
        <v>48568.605135999998</v>
      </c>
      <c r="L237">
        <v>51539.914499999999</v>
      </c>
      <c r="M237">
        <v>53206.983378999998</v>
      </c>
      <c r="N237">
        <v>43571.854272999997</v>
      </c>
      <c r="O237">
        <v>52784.382071</v>
      </c>
      <c r="P237">
        <v>53603.553887000002</v>
      </c>
      <c r="Q237">
        <v>70543.118761999998</v>
      </c>
      <c r="R237">
        <v>34091.664853000002</v>
      </c>
    </row>
    <row r="238" spans="1:18" x14ac:dyDescent="0.35">
      <c r="A238" t="s">
        <v>90</v>
      </c>
      <c r="B238">
        <v>144498.57870000001</v>
      </c>
      <c r="C238">
        <v>175303.65948</v>
      </c>
      <c r="D238">
        <v>187959.48499999999</v>
      </c>
      <c r="E238">
        <v>194716.34190999999</v>
      </c>
      <c r="F238">
        <v>218028.31452000001</v>
      </c>
      <c r="G238">
        <v>205225.58775000001</v>
      </c>
      <c r="H238">
        <v>171057.25109999999</v>
      </c>
      <c r="I238">
        <v>184130.39111999999</v>
      </c>
      <c r="J238">
        <v>192828.77533</v>
      </c>
      <c r="K238">
        <v>227909.58194999999</v>
      </c>
      <c r="L238">
        <v>233824.70073000001</v>
      </c>
      <c r="M238">
        <v>227839.19164</v>
      </c>
      <c r="N238">
        <v>235563.2335</v>
      </c>
      <c r="O238">
        <v>234162.47180999999</v>
      </c>
      <c r="P238">
        <v>249648.71844999999</v>
      </c>
      <c r="Q238">
        <v>216835.84409999999</v>
      </c>
      <c r="R238">
        <v>285411.30679</v>
      </c>
    </row>
    <row r="239" spans="1:18" x14ac:dyDescent="0.35">
      <c r="A239" t="s">
        <v>265</v>
      </c>
      <c r="B239">
        <v>2090.3182609</v>
      </c>
      <c r="C239">
        <v>1639.0777381</v>
      </c>
      <c r="D239">
        <v>1668.6001802999999</v>
      </c>
      <c r="E239">
        <v>2576.5232273000001</v>
      </c>
      <c r="F239">
        <v>2158.2424523999998</v>
      </c>
      <c r="G239">
        <v>1806.3566229999999</v>
      </c>
      <c r="H239">
        <v>1142.0310500000001</v>
      </c>
      <c r="I239">
        <v>1386.082439</v>
      </c>
      <c r="J239">
        <v>1364.2548852</v>
      </c>
      <c r="K239">
        <v>760.02236363999998</v>
      </c>
      <c r="L239">
        <v>833.86820454999997</v>
      </c>
      <c r="M239">
        <v>770.53887879000001</v>
      </c>
      <c r="N239">
        <v>474.41777273000002</v>
      </c>
      <c r="O239">
        <v>652.18395238000005</v>
      </c>
      <c r="P239">
        <v>690.11479032</v>
      </c>
      <c r="Q239">
        <v>726.86352380999995</v>
      </c>
      <c r="R239">
        <v>705.94979411999998</v>
      </c>
    </row>
    <row r="240" spans="1:18" x14ac:dyDescent="0.35">
      <c r="A240" t="s">
        <v>267</v>
      </c>
      <c r="B240">
        <v>68807.693043000007</v>
      </c>
      <c r="C240">
        <v>84354.486713999999</v>
      </c>
      <c r="D240">
        <v>79507.500425999999</v>
      </c>
      <c r="E240">
        <v>58664.647227000001</v>
      </c>
      <c r="F240">
        <v>76849.455499999996</v>
      </c>
      <c r="G240">
        <v>87881.272639000003</v>
      </c>
      <c r="H240">
        <v>72827.966</v>
      </c>
      <c r="I240">
        <v>87329.709438999998</v>
      </c>
      <c r="J240">
        <v>83215.227197</v>
      </c>
      <c r="K240">
        <v>76312.802226999993</v>
      </c>
      <c r="L240">
        <v>79090.157636000004</v>
      </c>
      <c r="M240">
        <v>76221.176091000001</v>
      </c>
      <c r="N240">
        <v>81492.723908999993</v>
      </c>
      <c r="O240">
        <v>79994.710714000001</v>
      </c>
      <c r="P240">
        <v>81076.869581000006</v>
      </c>
      <c r="Q240">
        <v>166088.74048000001</v>
      </c>
      <c r="R240">
        <v>65281.957176000004</v>
      </c>
    </row>
    <row r="241" spans="1:18" x14ac:dyDescent="0.35">
      <c r="A241" t="s">
        <v>268</v>
      </c>
      <c r="B241">
        <v>119718.06243000001</v>
      </c>
      <c r="C241">
        <v>118868.43330999999</v>
      </c>
      <c r="D241">
        <v>129821.97713</v>
      </c>
      <c r="E241">
        <v>95428.897681999995</v>
      </c>
      <c r="F241">
        <v>109273.42395</v>
      </c>
      <c r="G241">
        <v>112992.82878</v>
      </c>
      <c r="H241">
        <v>121378.3591</v>
      </c>
      <c r="I241">
        <v>167702.1691</v>
      </c>
      <c r="J241">
        <v>183685.78107999999</v>
      </c>
      <c r="K241">
        <v>196244.71531999999</v>
      </c>
      <c r="L241">
        <v>187644.78826999999</v>
      </c>
      <c r="M241">
        <v>164558.48420000001</v>
      </c>
      <c r="N241">
        <v>117967.00013</v>
      </c>
      <c r="O241">
        <v>134871.02171</v>
      </c>
      <c r="P241">
        <v>128392.82833</v>
      </c>
      <c r="Q241">
        <v>172689.86632999999</v>
      </c>
      <c r="R241">
        <v>180066.00571</v>
      </c>
    </row>
    <row r="242" spans="1:18" x14ac:dyDescent="0.35">
      <c r="A242" t="s">
        <v>253</v>
      </c>
      <c r="B242">
        <v>9812.0868695999998</v>
      </c>
      <c r="C242">
        <v>11684.593261</v>
      </c>
      <c r="D242">
        <v>11851.038295</v>
      </c>
      <c r="E242">
        <v>10962.860272</v>
      </c>
      <c r="F242">
        <v>9750.6346904999991</v>
      </c>
      <c r="G242">
        <v>11004.448802999999</v>
      </c>
      <c r="H242">
        <v>8883.6793500000003</v>
      </c>
      <c r="I242">
        <v>9136.2894390000001</v>
      </c>
      <c r="J242">
        <v>8693.3496066000007</v>
      </c>
      <c r="K242">
        <v>5318.0859545000003</v>
      </c>
      <c r="L242">
        <v>5756.9918636000002</v>
      </c>
      <c r="M242">
        <v>5297.1559242000003</v>
      </c>
      <c r="N242">
        <v>5580.7664999999997</v>
      </c>
      <c r="O242">
        <v>6568.6774524000002</v>
      </c>
      <c r="P242">
        <v>6732.3338548000002</v>
      </c>
      <c r="Q242">
        <v>5536.5237619</v>
      </c>
      <c r="R242">
        <v>3897.6035293999998</v>
      </c>
    </row>
    <row r="243" spans="1:18" x14ac:dyDescent="0.35">
      <c r="A243" t="s">
        <v>264</v>
      </c>
      <c r="B243">
        <v>1562.4502609000001</v>
      </c>
      <c r="C243">
        <v>1524.3810951999999</v>
      </c>
      <c r="D243">
        <v>1303.8058361000001</v>
      </c>
      <c r="E243">
        <v>1016.7660909</v>
      </c>
      <c r="F243">
        <v>1551.6703333</v>
      </c>
      <c r="G243">
        <v>1831.6881311</v>
      </c>
      <c r="H243">
        <v>2551.3508999999999</v>
      </c>
      <c r="I243">
        <v>7316.6737561</v>
      </c>
      <c r="J243">
        <v>6155.996459</v>
      </c>
      <c r="K243">
        <v>3251.5381818000001</v>
      </c>
      <c r="L243">
        <v>3166.5761136000001</v>
      </c>
      <c r="M243">
        <v>3317.1114394000001</v>
      </c>
      <c r="N243">
        <v>5598.1895909000004</v>
      </c>
      <c r="O243">
        <v>6871.3642142999997</v>
      </c>
      <c r="P243">
        <v>7234.3354839000003</v>
      </c>
      <c r="Q243">
        <v>6878.3962856999997</v>
      </c>
      <c r="R243">
        <v>6610.7063823999997</v>
      </c>
    </row>
    <row r="244" spans="1:18" x14ac:dyDescent="0.35">
      <c r="A244" t="s">
        <v>266</v>
      </c>
      <c r="B244">
        <v>7647.3027390999996</v>
      </c>
      <c r="C244">
        <v>10249.869618999999</v>
      </c>
      <c r="D244">
        <v>10803.376541</v>
      </c>
      <c r="E244">
        <v>14270.890545</v>
      </c>
      <c r="F244">
        <v>11669.242452</v>
      </c>
      <c r="G244">
        <v>11922.777244999999</v>
      </c>
      <c r="H244">
        <v>11677.311900000001</v>
      </c>
      <c r="I244">
        <v>15705.716073</v>
      </c>
      <c r="J244">
        <v>14250.885507999999</v>
      </c>
      <c r="K244">
        <v>10263.606771999999</v>
      </c>
      <c r="L244">
        <v>15851.06134</v>
      </c>
      <c r="M244">
        <v>18141.182014999999</v>
      </c>
      <c r="N244">
        <v>18853.901091</v>
      </c>
      <c r="O244">
        <v>25149.040643</v>
      </c>
      <c r="P244">
        <v>23700.202499999999</v>
      </c>
      <c r="Q244">
        <v>29444.875856999999</v>
      </c>
      <c r="R244">
        <v>14384.046410999999</v>
      </c>
    </row>
    <row r="245" spans="1:18" x14ac:dyDescent="0.35">
      <c r="A245" t="s">
        <v>270</v>
      </c>
      <c r="B245">
        <v>4532.3823043000002</v>
      </c>
      <c r="C245">
        <v>6191.1192142999998</v>
      </c>
      <c r="D245">
        <v>5470.1873933999996</v>
      </c>
      <c r="E245">
        <v>4684.7575454999997</v>
      </c>
      <c r="F245">
        <v>3738.1495713999998</v>
      </c>
      <c r="G245">
        <v>3237.8454262</v>
      </c>
      <c r="H245">
        <v>2172.5059500000002</v>
      </c>
      <c r="I245">
        <v>2068.9843171000002</v>
      </c>
      <c r="J245">
        <v>1710.6139016</v>
      </c>
      <c r="K245">
        <v>599.40068182000005</v>
      </c>
      <c r="L245">
        <v>996.09243182</v>
      </c>
      <c r="M245">
        <v>1253.8037575999999</v>
      </c>
      <c r="N245">
        <v>1202.4375454999999</v>
      </c>
      <c r="O245">
        <v>2097.6294524</v>
      </c>
      <c r="P245">
        <v>2144.6379032</v>
      </c>
      <c r="Q245">
        <v>2382.2090951999999</v>
      </c>
      <c r="R245">
        <v>994.01705881999999</v>
      </c>
    </row>
    <row r="246" spans="1:18" x14ac:dyDescent="0.35">
      <c r="A246" t="s">
        <v>269</v>
      </c>
      <c r="B246">
        <v>337703.48904000001</v>
      </c>
      <c r="C246">
        <v>340146.00728999998</v>
      </c>
      <c r="D246">
        <v>355166.34905000002</v>
      </c>
      <c r="E246">
        <v>337142.83536000003</v>
      </c>
      <c r="F246">
        <v>371033.71030999999</v>
      </c>
      <c r="G246">
        <v>356093.22897</v>
      </c>
      <c r="H246">
        <v>398342.87105000002</v>
      </c>
      <c r="I246">
        <v>379937.68732000003</v>
      </c>
      <c r="J246">
        <v>352940.92197000002</v>
      </c>
      <c r="K246">
        <v>486295.19877000002</v>
      </c>
      <c r="L246">
        <v>411912.44676999998</v>
      </c>
      <c r="M246">
        <v>362912.02356</v>
      </c>
      <c r="N246">
        <v>449794.72194999998</v>
      </c>
      <c r="O246">
        <v>420772.39376000001</v>
      </c>
      <c r="P246">
        <v>413664.85768000002</v>
      </c>
      <c r="Q246">
        <v>376828.02824000001</v>
      </c>
      <c r="R246">
        <v>346049.44209000003</v>
      </c>
    </row>
    <row r="247" spans="1:18" x14ac:dyDescent="0.35">
      <c r="A247" t="s">
        <v>271</v>
      </c>
      <c r="B247">
        <v>1981.7028261</v>
      </c>
      <c r="C247">
        <v>2604.1345000000001</v>
      </c>
      <c r="D247">
        <v>2709.2415738</v>
      </c>
      <c r="E247">
        <v>2999.2424544999999</v>
      </c>
      <c r="F247">
        <v>2507.3152381</v>
      </c>
      <c r="G247">
        <v>2555.7474097999998</v>
      </c>
      <c r="H247">
        <v>2007.90075</v>
      </c>
      <c r="I247">
        <v>2806.1939511999999</v>
      </c>
      <c r="J247">
        <v>3030.2124262000002</v>
      </c>
      <c r="K247">
        <v>2570.0991818000002</v>
      </c>
      <c r="L247">
        <v>2931.5993864000002</v>
      </c>
      <c r="M247">
        <v>3125.9213181999999</v>
      </c>
      <c r="N247">
        <v>2720.2655909</v>
      </c>
      <c r="O247">
        <v>3068.9120238</v>
      </c>
      <c r="P247">
        <v>3234.0932419000001</v>
      </c>
      <c r="Q247">
        <v>4783.3554285999999</v>
      </c>
      <c r="R247">
        <v>2341.4158529000001</v>
      </c>
    </row>
    <row r="248" spans="1:18" x14ac:dyDescent="0.35">
      <c r="A248" t="s">
        <v>273</v>
      </c>
      <c r="B248">
        <v>16.818391303999999</v>
      </c>
      <c r="C248">
        <v>24.422452380999999</v>
      </c>
      <c r="D248">
        <v>33.908688525000002</v>
      </c>
      <c r="E248">
        <v>19.493681817999999</v>
      </c>
      <c r="F248">
        <v>19.167404762</v>
      </c>
      <c r="G248">
        <v>26.241524590000001</v>
      </c>
      <c r="H248">
        <v>42.808300000000003</v>
      </c>
      <c r="I248">
        <v>28.751146340999998</v>
      </c>
      <c r="J248">
        <v>31.750737704999999</v>
      </c>
      <c r="K248">
        <v>38.261772727</v>
      </c>
      <c r="L248">
        <v>34.062068181999997</v>
      </c>
      <c r="M248">
        <v>39.637893939000001</v>
      </c>
      <c r="N248">
        <v>41.158999999999999</v>
      </c>
      <c r="O248">
        <v>39.104119048000001</v>
      </c>
      <c r="P248">
        <v>34.585677419</v>
      </c>
      <c r="Q248">
        <v>34.798380952000002</v>
      </c>
      <c r="R248">
        <v>31.787441176000002</v>
      </c>
    </row>
    <row r="249" spans="1:18" x14ac:dyDescent="0.35">
      <c r="A249" t="s">
        <v>274</v>
      </c>
      <c r="B249">
        <v>50127.545042999998</v>
      </c>
      <c r="C249">
        <v>49284.318071000002</v>
      </c>
      <c r="D249">
        <v>47251.009278999998</v>
      </c>
      <c r="E249">
        <v>46553.699409000001</v>
      </c>
      <c r="F249">
        <v>49980.361190000003</v>
      </c>
      <c r="G249">
        <v>54084.164295000002</v>
      </c>
      <c r="H249">
        <v>73742.257800000007</v>
      </c>
      <c r="I249">
        <v>74249.464072999996</v>
      </c>
      <c r="J249">
        <v>68487.237443000005</v>
      </c>
      <c r="K249">
        <v>55656.234408999997</v>
      </c>
      <c r="L249">
        <v>51608.955295</v>
      </c>
      <c r="M249">
        <v>50090.247757999998</v>
      </c>
      <c r="N249">
        <v>47208.970635999998</v>
      </c>
      <c r="O249">
        <v>48695.821381000002</v>
      </c>
      <c r="P249">
        <v>45163.669387000002</v>
      </c>
      <c r="Q249">
        <v>53995.112905000002</v>
      </c>
      <c r="R249">
        <v>29210.3685</v>
      </c>
    </row>
    <row r="250" spans="1:18" x14ac:dyDescent="0.35">
      <c r="A250" t="s">
        <v>91</v>
      </c>
      <c r="B250">
        <v>1111.9369565</v>
      </c>
      <c r="C250">
        <v>1695.0987619</v>
      </c>
      <c r="D250">
        <v>1794.5586721</v>
      </c>
      <c r="E250">
        <v>1940.0341817999999</v>
      </c>
      <c r="F250">
        <v>1953.2296429</v>
      </c>
      <c r="G250">
        <v>2429.1093279000002</v>
      </c>
      <c r="H250">
        <v>2092.7858000000001</v>
      </c>
      <c r="I250">
        <v>3484.1190732</v>
      </c>
      <c r="J250">
        <v>3133.6212458999998</v>
      </c>
      <c r="K250">
        <v>1411.2742272999999</v>
      </c>
      <c r="L250">
        <v>2004.6536818</v>
      </c>
      <c r="M250">
        <v>1970.9462879</v>
      </c>
      <c r="N250">
        <v>3153.0191817999998</v>
      </c>
      <c r="O250">
        <v>1822.5911905</v>
      </c>
      <c r="P250">
        <v>1240.1911935000001</v>
      </c>
      <c r="Q250">
        <v>0</v>
      </c>
      <c r="R250">
        <v>0</v>
      </c>
    </row>
    <row r="251" spans="1:18" x14ac:dyDescent="0.35">
      <c r="A251" t="s">
        <v>275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  <c r="I251">
        <v>1368272.9757000001</v>
      </c>
      <c r="J251">
        <v>1360331.6686</v>
      </c>
      <c r="K251">
        <v>1380277.8807999999</v>
      </c>
      <c r="L251">
        <v>1396234.8504999999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Q251"/>
  <sheetViews>
    <sheetView workbookViewId="0"/>
  </sheetViews>
  <sheetFormatPr defaultRowHeight="14.5" x14ac:dyDescent="0.35"/>
  <cols>
    <col min="2" max="17" width="11.81640625" bestFit="1" customWidth="1"/>
  </cols>
  <sheetData>
    <row r="1" spans="1:17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s="2" t="s">
        <v>501</v>
      </c>
      <c r="M1" s="2">
        <v>45960</v>
      </c>
      <c r="N1" s="2" t="s">
        <v>502</v>
      </c>
      <c r="O1" s="2">
        <v>46022</v>
      </c>
      <c r="P1" s="2">
        <v>46053</v>
      </c>
      <c r="Q1" t="s">
        <v>485</v>
      </c>
    </row>
    <row r="2" spans="1:17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  <c r="I2">
        <v>5037385.7048000004</v>
      </c>
      <c r="J2">
        <v>5383630.8320000004</v>
      </c>
      <c r="K2">
        <v>5116733.5464000003</v>
      </c>
      <c r="L2">
        <v>5299474.0301999999</v>
      </c>
      <c r="M2">
        <v>5602516.4857000001</v>
      </c>
      <c r="N2">
        <v>5544684.0575000001</v>
      </c>
      <c r="O2">
        <v>5891678.6270000003</v>
      </c>
      <c r="P2">
        <v>6467992.4913999997</v>
      </c>
      <c r="Q2">
        <v>5715563.8346999995</v>
      </c>
    </row>
    <row r="3" spans="1:17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  <c r="I3">
        <v>219529724.94999999</v>
      </c>
      <c r="J3">
        <v>207688237.19999999</v>
      </c>
      <c r="K3">
        <v>205037561.5</v>
      </c>
      <c r="L3">
        <v>192563793.5</v>
      </c>
      <c r="M3">
        <v>188512522.18000001</v>
      </c>
      <c r="N3">
        <v>198179831.00999999</v>
      </c>
      <c r="O3">
        <v>216111129.63999999</v>
      </c>
      <c r="P3">
        <v>231905411.09999999</v>
      </c>
      <c r="Q3">
        <v>216445050.36000001</v>
      </c>
    </row>
    <row r="4" spans="1:17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  <c r="I4">
        <v>257722.1808</v>
      </c>
      <c r="J4">
        <v>255267.68384000001</v>
      </c>
      <c r="K4">
        <v>269994.66560000001</v>
      </c>
      <c r="L4">
        <v>254040.43536</v>
      </c>
      <c r="M4">
        <v>247391.31872000001</v>
      </c>
      <c r="N4">
        <v>254757.80960000001</v>
      </c>
      <c r="O4">
        <v>249846.81568</v>
      </c>
      <c r="P4">
        <v>193370.38560000001</v>
      </c>
      <c r="Q4">
        <v>203192.37344</v>
      </c>
    </row>
    <row r="5" spans="1:17" x14ac:dyDescent="0.35">
      <c r="A5" t="s">
        <v>459</v>
      </c>
      <c r="B5">
        <v>4898842.9210000001</v>
      </c>
      <c r="C5">
        <v>6091252.5553000001</v>
      </c>
    </row>
    <row r="6" spans="1:17" x14ac:dyDescent="0.35">
      <c r="A6" t="s">
        <v>112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  <c r="I6">
        <v>2093916.9061</v>
      </c>
      <c r="J6">
        <v>1972386.0486000001</v>
      </c>
      <c r="K6">
        <v>2020201.4680000001</v>
      </c>
      <c r="L6">
        <v>2118820.7703999998</v>
      </c>
      <c r="M6">
        <v>2079339.7409999999</v>
      </c>
      <c r="N6">
        <v>2051615.2111</v>
      </c>
      <c r="O6">
        <v>2043400.5356000001</v>
      </c>
      <c r="P6">
        <v>2124797.6978000002</v>
      </c>
      <c r="Q6">
        <v>1986332.2126</v>
      </c>
    </row>
    <row r="7" spans="1:17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  <c r="I7">
        <v>11126796.942</v>
      </c>
      <c r="J7">
        <v>11351187.707</v>
      </c>
      <c r="K7">
        <v>10701691.931</v>
      </c>
      <c r="L7">
        <v>11970706.754000001</v>
      </c>
      <c r="M7">
        <v>12894102.161</v>
      </c>
      <c r="N7">
        <v>12454814.127</v>
      </c>
      <c r="O7">
        <v>14152063.346999999</v>
      </c>
      <c r="P7">
        <v>15424686.102</v>
      </c>
      <c r="Q7">
        <v>14161758.728</v>
      </c>
    </row>
    <row r="8" spans="1:17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  <c r="I8">
        <v>6135803.4437999995</v>
      </c>
      <c r="J8">
        <v>6093204.1456000004</v>
      </c>
      <c r="K8">
        <v>5377684.0351999998</v>
      </c>
      <c r="L8">
        <v>6364510.0369999995</v>
      </c>
      <c r="M8">
        <v>6374792.1995999999</v>
      </c>
      <c r="N8">
        <v>7245930.3651999999</v>
      </c>
      <c r="O8">
        <v>7194047.4424000001</v>
      </c>
      <c r="P8">
        <v>8583012.3035000004</v>
      </c>
      <c r="Q8">
        <v>7563924.8996000001</v>
      </c>
    </row>
    <row r="9" spans="1:17" x14ac:dyDescent="0.35">
      <c r="A9" t="s">
        <v>97</v>
      </c>
      <c r="B9">
        <v>9391793.0550999995</v>
      </c>
      <c r="C9">
        <v>8874224.7504999992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  <c r="I9">
        <v>10638309.09</v>
      </c>
      <c r="J9">
        <v>10544063.755000001</v>
      </c>
      <c r="K9">
        <v>10263399.975</v>
      </c>
      <c r="L9">
        <v>10114936.801000001</v>
      </c>
      <c r="M9">
        <v>10942553.726</v>
      </c>
      <c r="N9">
        <v>11040943.486</v>
      </c>
      <c r="O9">
        <v>11646862.251</v>
      </c>
      <c r="P9">
        <v>11867117.581</v>
      </c>
      <c r="Q9">
        <v>11165982.919</v>
      </c>
    </row>
    <row r="10" spans="1:17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  <c r="I10">
        <v>31980051.647999998</v>
      </c>
      <c r="J10">
        <v>27336253.243999999</v>
      </c>
      <c r="K10">
        <v>22702424.949999999</v>
      </c>
      <c r="L10">
        <v>22252376.877999999</v>
      </c>
      <c r="M10">
        <v>14201516.929</v>
      </c>
      <c r="N10">
        <v>583395.64850000001</v>
      </c>
      <c r="O10">
        <v>433379.62459999998</v>
      </c>
      <c r="P10">
        <v>466716.51880000002</v>
      </c>
      <c r="Q10">
        <v>450048.07169999997</v>
      </c>
    </row>
    <row r="11" spans="1:17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  <c r="I11">
        <v>1027252.9358</v>
      </c>
      <c r="J11">
        <v>1135384.8862000001</v>
      </c>
      <c r="K11">
        <v>1053284.7445</v>
      </c>
      <c r="L11">
        <v>1317607.1518000001</v>
      </c>
      <c r="M11">
        <v>1223496.4918</v>
      </c>
      <c r="N11">
        <v>1101347.0874999999</v>
      </c>
      <c r="O11">
        <v>1189454.8544999999</v>
      </c>
      <c r="P11">
        <v>1147403.4202000001</v>
      </c>
      <c r="Q11">
        <v>1027256.4652</v>
      </c>
    </row>
    <row r="12" spans="1:17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  <c r="I12">
        <v>473575.71299999999</v>
      </c>
      <c r="J12">
        <v>442888.00679999997</v>
      </c>
      <c r="K12">
        <v>416367.76686999999</v>
      </c>
      <c r="L12">
        <v>486078.11181999999</v>
      </c>
      <c r="M12">
        <v>491761.02038</v>
      </c>
      <c r="N12">
        <v>492518.74151999998</v>
      </c>
      <c r="O12">
        <v>489108.99638999999</v>
      </c>
      <c r="P12">
        <v>501611.39468000003</v>
      </c>
      <c r="Q12">
        <v>471681.40964999999</v>
      </c>
    </row>
    <row r="13" spans="1:17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  <c r="I13">
        <v>1605237.9284999999</v>
      </c>
      <c r="J13">
        <v>1601460.8981000001</v>
      </c>
      <c r="K13">
        <v>1389947.1946</v>
      </c>
      <c r="L13">
        <v>1272859.2515</v>
      </c>
      <c r="M13">
        <v>1296059.6011000001</v>
      </c>
      <c r="N13">
        <v>1333845.5952999999</v>
      </c>
      <c r="O13">
        <v>1447203.5778999999</v>
      </c>
      <c r="P13">
        <v>1976207.4967</v>
      </c>
      <c r="Q13">
        <v>1250716.4080000001</v>
      </c>
    </row>
    <row r="14" spans="1:17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  <c r="I14">
        <v>1696493.2341</v>
      </c>
      <c r="J14">
        <v>1177163.6706000001</v>
      </c>
      <c r="K14">
        <v>1263719.8228</v>
      </c>
      <c r="L14">
        <v>1384898.436</v>
      </c>
      <c r="M14">
        <v>1284691.4282</v>
      </c>
      <c r="N14">
        <v>1298542.5488</v>
      </c>
      <c r="O14">
        <v>1624043.8810000001</v>
      </c>
      <c r="P14">
        <v>1659256.9532000001</v>
      </c>
      <c r="Q14">
        <v>1551872.8914999999</v>
      </c>
    </row>
    <row r="15" spans="1:17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  <c r="I15">
        <v>15129552.9</v>
      </c>
      <c r="J15">
        <v>15168762.619999999</v>
      </c>
      <c r="K15">
        <v>13148057.119999999</v>
      </c>
      <c r="L15">
        <v>14171881.24</v>
      </c>
      <c r="M15">
        <v>12783741.42</v>
      </c>
      <c r="N15">
        <v>11560481.199999999</v>
      </c>
      <c r="O15">
        <v>12703086.9</v>
      </c>
      <c r="P15">
        <v>11498437.560000001</v>
      </c>
      <c r="Q15">
        <v>9767634.2400000002</v>
      </c>
    </row>
    <row r="16" spans="1:17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  <c r="I16">
        <v>10324382.640000001</v>
      </c>
      <c r="J16">
        <v>10627426.26</v>
      </c>
      <c r="K16">
        <v>9864592.3200000003</v>
      </c>
      <c r="L16">
        <v>11348461.08</v>
      </c>
      <c r="M16">
        <v>10731924.060000001</v>
      </c>
      <c r="N16">
        <v>11484308.220000001</v>
      </c>
      <c r="O16">
        <v>12821880.060000001</v>
      </c>
      <c r="P16">
        <v>11761385.279999999</v>
      </c>
      <c r="Q16">
        <v>12398547.359999999</v>
      </c>
    </row>
    <row r="17" spans="1:17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  <c r="I17">
        <v>427772.18754000001</v>
      </c>
      <c r="J17">
        <v>335967.19751999999</v>
      </c>
      <c r="K17">
        <v>337920.49518000003</v>
      </c>
      <c r="L17">
        <v>347686.98348</v>
      </c>
      <c r="M17">
        <v>328154.00688</v>
      </c>
      <c r="N17">
        <v>292994.64899999998</v>
      </c>
      <c r="O17">
        <v>234395.71919999999</v>
      </c>
      <c r="P17">
        <v>166030.30110000001</v>
      </c>
      <c r="Q17">
        <v>179703.38472</v>
      </c>
    </row>
    <row r="18" spans="1:17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  <c r="I18">
        <v>390558.42875999998</v>
      </c>
      <c r="J18">
        <v>313632.25047000003</v>
      </c>
      <c r="K18">
        <v>335849.84532000002</v>
      </c>
      <c r="L18">
        <v>294225.27740999998</v>
      </c>
      <c r="M18">
        <v>237102.23879999999</v>
      </c>
      <c r="N18">
        <v>207464.45895</v>
      </c>
      <c r="O18">
        <v>126498.46294</v>
      </c>
      <c r="P18">
        <v>142656.76422000001</v>
      </c>
      <c r="Q18">
        <v>132557.82631999999</v>
      </c>
    </row>
    <row r="19" spans="1:17" x14ac:dyDescent="0.35">
      <c r="A19" t="s">
        <v>492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  <c r="I19">
        <v>399732.2856</v>
      </c>
      <c r="J19">
        <v>878204.65630000003</v>
      </c>
      <c r="K19">
        <v>628609.64872000006</v>
      </c>
      <c r="L19">
        <v>628609.64872000006</v>
      </c>
      <c r="M19">
        <v>1109311.1447999999</v>
      </c>
      <c r="N19">
        <v>1053845.5876</v>
      </c>
      <c r="O19">
        <v>952158.73262000002</v>
      </c>
      <c r="P19">
        <v>7737941.7494000001</v>
      </c>
      <c r="Q19">
        <v>166396.67172000001</v>
      </c>
    </row>
    <row r="20" spans="1:17" x14ac:dyDescent="0.35">
      <c r="A20" t="s">
        <v>106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  <c r="I20">
        <v>9115607.7628000006</v>
      </c>
      <c r="J20">
        <v>8879061.9590000007</v>
      </c>
      <c r="K20">
        <v>7582305.9334000004</v>
      </c>
      <c r="L20">
        <v>7167261.4091999996</v>
      </c>
      <c r="M20">
        <v>6081678.0044999998</v>
      </c>
      <c r="N20">
        <v>5791209.8013000004</v>
      </c>
      <c r="O20">
        <v>5841638.3087999998</v>
      </c>
      <c r="P20">
        <v>5399485.7843000004</v>
      </c>
      <c r="Q20">
        <v>5080443.6174999997</v>
      </c>
    </row>
    <row r="21" spans="1:17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  <c r="I21">
        <v>4260431.9400000004</v>
      </c>
      <c r="J21">
        <v>4171299.2192000002</v>
      </c>
      <c r="K21">
        <v>3980140.3650000002</v>
      </c>
      <c r="L21">
        <v>4092817.5781999999</v>
      </c>
      <c r="M21">
        <v>4220630.5363999996</v>
      </c>
      <c r="N21">
        <v>4417395.2220000001</v>
      </c>
      <c r="O21">
        <v>4192601.3788999999</v>
      </c>
      <c r="P21">
        <v>4851286.5800999999</v>
      </c>
      <c r="Q21">
        <v>4360776.3239000002</v>
      </c>
    </row>
    <row r="22" spans="1:17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  <c r="I22">
        <v>133692217.77</v>
      </c>
      <c r="J22">
        <v>126099961.83</v>
      </c>
      <c r="K22">
        <v>113598426.45</v>
      </c>
      <c r="L22">
        <v>122104037.28</v>
      </c>
      <c r="M22">
        <v>126099961.83</v>
      </c>
      <c r="N22">
        <v>125015353.73</v>
      </c>
      <c r="O22">
        <v>128269178.01000001</v>
      </c>
      <c r="P22">
        <v>143967453.03</v>
      </c>
      <c r="Q22">
        <v>125129523.01000001</v>
      </c>
    </row>
    <row r="23" spans="1:17" x14ac:dyDescent="0.35">
      <c r="A23" t="s">
        <v>110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  <c r="I23">
        <v>159589651.72</v>
      </c>
      <c r="J23">
        <v>165723532.22</v>
      </c>
      <c r="K23">
        <v>153983992.63999999</v>
      </c>
      <c r="L23">
        <v>165352786.25999999</v>
      </c>
      <c r="M23">
        <v>174078270.65000001</v>
      </c>
      <c r="N23">
        <v>177831301.03</v>
      </c>
      <c r="O23">
        <v>192425847.38</v>
      </c>
      <c r="P23">
        <v>209559977.68000001</v>
      </c>
      <c r="Q23">
        <v>178678248.47</v>
      </c>
    </row>
    <row r="24" spans="1:17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  <c r="I24">
        <v>159589651.72</v>
      </c>
      <c r="J24">
        <v>165723532.22</v>
      </c>
      <c r="K24">
        <v>153983992.63999999</v>
      </c>
      <c r="L24">
        <v>165352786.25999999</v>
      </c>
      <c r="M24">
        <v>174078270.65000001</v>
      </c>
      <c r="N24">
        <v>177831301.03</v>
      </c>
      <c r="O24">
        <v>192425847.38</v>
      </c>
      <c r="P24">
        <v>209559977.68000001</v>
      </c>
      <c r="Q24">
        <v>178678248.47</v>
      </c>
    </row>
    <row r="25" spans="1:17" x14ac:dyDescent="0.35">
      <c r="A25" t="s">
        <v>51</v>
      </c>
      <c r="B25">
        <v>66524444.870999999</v>
      </c>
      <c r="C25">
        <v>65087967.217</v>
      </c>
      <c r="D25">
        <v>70232110.166999996</v>
      </c>
      <c r="E25">
        <v>74910368.473000005</v>
      </c>
      <c r="F25">
        <v>73454478.959000006</v>
      </c>
      <c r="G25">
        <v>78230960.833000004</v>
      </c>
      <c r="H25">
        <v>83025761.658000007</v>
      </c>
      <c r="I25">
        <v>72814971.237000003</v>
      </c>
      <c r="J25">
        <v>69495493.741999999</v>
      </c>
      <c r="K25">
        <v>65283057.390000001</v>
      </c>
      <c r="L25">
        <v>63710673.313000001</v>
      </c>
      <c r="M25">
        <v>64564807.873000003</v>
      </c>
      <c r="N25">
        <v>63768909.761</v>
      </c>
      <c r="O25">
        <v>66214840.545999996</v>
      </c>
      <c r="P25">
        <v>72426728.254999995</v>
      </c>
      <c r="Q25">
        <v>70174918.959999993</v>
      </c>
    </row>
    <row r="26" spans="1:17" x14ac:dyDescent="0.35">
      <c r="A26" t="s">
        <v>206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  <c r="I26">
        <v>3060708.3727000002</v>
      </c>
      <c r="J26">
        <v>4778348.4447999997</v>
      </c>
      <c r="K26">
        <v>5041645.1957999999</v>
      </c>
      <c r="L26">
        <v>5880294.1065999996</v>
      </c>
      <c r="M26">
        <v>6649360.3688000003</v>
      </c>
      <c r="N26">
        <v>7072949.2515000002</v>
      </c>
      <c r="O26">
        <v>6137113.3476999998</v>
      </c>
      <c r="P26">
        <v>6099680.6144000003</v>
      </c>
      <c r="Q26">
        <v>5675954.8205000004</v>
      </c>
    </row>
    <row r="27" spans="1:17" x14ac:dyDescent="0.35">
      <c r="A27" t="s">
        <v>121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  <c r="I27">
        <v>378386.56</v>
      </c>
      <c r="J27">
        <v>295673.92</v>
      </c>
      <c r="K27">
        <v>301378.24</v>
      </c>
      <c r="L27">
        <v>2811612.6242999998</v>
      </c>
      <c r="M27">
        <v>2563142.96</v>
      </c>
      <c r="N27">
        <v>2353906.7999999998</v>
      </c>
      <c r="O27">
        <v>2255827.35</v>
      </c>
      <c r="P27">
        <v>3001043.7481</v>
      </c>
      <c r="Q27">
        <v>2935803.6666000001</v>
      </c>
    </row>
    <row r="28" spans="1:17" x14ac:dyDescent="0.35">
      <c r="A28" t="s">
        <v>108</v>
      </c>
      <c r="B28">
        <v>2665211.085</v>
      </c>
      <c r="C28">
        <v>2379145.0951999999</v>
      </c>
      <c r="D28">
        <v>2336501.7178000002</v>
      </c>
      <c r="E28">
        <v>2370261.0583000001</v>
      </c>
      <c r="F28">
        <v>2206794.7784000002</v>
      </c>
      <c r="G28">
        <v>2260099.0000999998</v>
      </c>
      <c r="H28">
        <v>2293858.3404999999</v>
      </c>
      <c r="I28">
        <v>2487530.3459999999</v>
      </c>
      <c r="J28">
        <v>2450217.3908000002</v>
      </c>
      <c r="K28">
        <v>2205017.9709999999</v>
      </c>
      <c r="L28">
        <v>2297411.9553</v>
      </c>
      <c r="M28">
        <v>2469762.2721000002</v>
      </c>
      <c r="N28">
        <v>2377368.2878</v>
      </c>
      <c r="O28">
        <v>2334724.9105000002</v>
      </c>
      <c r="P28">
        <v>2349117.0502999998</v>
      </c>
      <c r="Q28">
        <v>2496414.3829000001</v>
      </c>
    </row>
    <row r="29" spans="1:17" x14ac:dyDescent="0.35">
      <c r="A29" t="s">
        <v>203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  <c r="I29">
        <v>3643251.05</v>
      </c>
      <c r="J29">
        <v>3753563.08</v>
      </c>
      <c r="K29">
        <v>3478519.56</v>
      </c>
      <c r="L29">
        <v>4459201.42</v>
      </c>
      <c r="M29">
        <v>5060003.97</v>
      </c>
      <c r="N29">
        <v>5108637.9800000004</v>
      </c>
      <c r="O29">
        <v>5676410.5</v>
      </c>
      <c r="P29">
        <v>6785263.7800000003</v>
      </c>
      <c r="Q29">
        <v>6529675.9682999998</v>
      </c>
    </row>
    <row r="30" spans="1:17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  <c r="I30">
        <v>1605141.4069999999</v>
      </c>
      <c r="J30">
        <v>1729779.8794</v>
      </c>
      <c r="K30">
        <v>1729779.8794</v>
      </c>
      <c r="L30">
        <v>1675882.1616</v>
      </c>
      <c r="M30">
        <v>1952644.6029999999</v>
      </c>
      <c r="N30">
        <v>1978803.6274999999</v>
      </c>
      <c r="O30">
        <v>2280054.3289999999</v>
      </c>
      <c r="P30">
        <v>2122232.0377000002</v>
      </c>
      <c r="Q30">
        <v>1944166.5822999999</v>
      </c>
    </row>
    <row r="31" spans="1:17" x14ac:dyDescent="0.35">
      <c r="A31" t="s">
        <v>460</v>
      </c>
    </row>
    <row r="32" spans="1:17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  <c r="I32">
        <v>202766036.63999999</v>
      </c>
      <c r="J32">
        <v>213082406.34</v>
      </c>
      <c r="K32">
        <v>195503558.72999999</v>
      </c>
      <c r="L32">
        <v>223933883.21000001</v>
      </c>
      <c r="M32">
        <v>246775500.75</v>
      </c>
      <c r="N32">
        <v>248927900.52000001</v>
      </c>
      <c r="O32">
        <v>277183870.60000002</v>
      </c>
      <c r="P32">
        <v>362152241.44999999</v>
      </c>
      <c r="Q32">
        <v>322737633.32999998</v>
      </c>
    </row>
    <row r="33" spans="1:17" x14ac:dyDescent="0.35">
      <c r="A33" t="s">
        <v>117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  <c r="I33">
        <v>202766036.63999999</v>
      </c>
      <c r="J33">
        <v>213082406.34</v>
      </c>
      <c r="K33">
        <v>195503558.72999999</v>
      </c>
      <c r="L33">
        <v>223933883.21000001</v>
      </c>
      <c r="M33">
        <v>246775500.75</v>
      </c>
      <c r="N33">
        <v>248927900.52000001</v>
      </c>
      <c r="O33">
        <v>277183870.60000002</v>
      </c>
      <c r="P33">
        <v>362152241.44999999</v>
      </c>
      <c r="Q33">
        <v>322737633.32999998</v>
      </c>
    </row>
    <row r="34" spans="1:17" x14ac:dyDescent="0.35">
      <c r="A34" t="s">
        <v>107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  <c r="I34">
        <v>11380184.925000001</v>
      </c>
      <c r="J34">
        <v>10117109.455</v>
      </c>
      <c r="K34">
        <v>9766949.9192999993</v>
      </c>
      <c r="L34">
        <v>9679410.0352999996</v>
      </c>
      <c r="M34">
        <v>9729432.8261999991</v>
      </c>
      <c r="N34">
        <v>12943397.140000001</v>
      </c>
      <c r="O34">
        <v>14231484.005000001</v>
      </c>
      <c r="P34">
        <v>15944764.593</v>
      </c>
      <c r="Q34">
        <v>14156449.819</v>
      </c>
    </row>
    <row r="35" spans="1:17" x14ac:dyDescent="0.35">
      <c r="A35" t="s">
        <v>111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  <c r="I35">
        <v>6006742.2999999998</v>
      </c>
      <c r="J35">
        <v>6032253</v>
      </c>
      <c r="K35">
        <v>6081894.5</v>
      </c>
      <c r="L35">
        <v>6265061.46</v>
      </c>
      <c r="M35">
        <v>6466085.9100000001</v>
      </c>
      <c r="N35">
        <v>7068614.2800000003</v>
      </c>
      <c r="O35">
        <v>7359134.9100000001</v>
      </c>
      <c r="P35">
        <v>8940149.9700000007</v>
      </c>
      <c r="Q35">
        <v>7539750.7999999998</v>
      </c>
    </row>
    <row r="36" spans="1:17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  <c r="I36">
        <v>8772749.6094000004</v>
      </c>
      <c r="J36">
        <v>8076615.3503999999</v>
      </c>
      <c r="K36">
        <v>9325241.5165999997</v>
      </c>
      <c r="L36">
        <v>9306674.5847999994</v>
      </c>
      <c r="M36">
        <v>8352484.9740000004</v>
      </c>
      <c r="N36">
        <v>6856656.1854999997</v>
      </c>
      <c r="O36">
        <v>6336367.9112999998</v>
      </c>
      <c r="P36">
        <v>8779864.6278000008</v>
      </c>
      <c r="Q36">
        <v>7822905.8377</v>
      </c>
    </row>
    <row r="37" spans="1:17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  <c r="I37">
        <v>1601184.486</v>
      </c>
      <c r="J37">
        <v>1628483.3689999999</v>
      </c>
      <c r="K37">
        <v>1636883.0253999999</v>
      </c>
      <c r="L37">
        <v>1749228.4286</v>
      </c>
      <c r="M37">
        <v>1900422.2424000001</v>
      </c>
      <c r="N37">
        <v>2036916.6576</v>
      </c>
      <c r="O37">
        <v>2177610.9010000001</v>
      </c>
      <c r="P37">
        <v>2082064.8103</v>
      </c>
      <c r="Q37">
        <v>2099914.08</v>
      </c>
    </row>
    <row r="38" spans="1:17" x14ac:dyDescent="0.35">
      <c r="A38" t="s">
        <v>115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  <c r="I38">
        <v>32475941.522</v>
      </c>
      <c r="J38">
        <v>32258245.009</v>
      </c>
      <c r="K38">
        <v>34036132.395000003</v>
      </c>
      <c r="L38">
        <v>33043078.179000001</v>
      </c>
      <c r="M38">
        <v>28579854.638999999</v>
      </c>
    </row>
    <row r="39" spans="1:17" x14ac:dyDescent="0.35">
      <c r="A39" t="s">
        <v>461</v>
      </c>
      <c r="B39">
        <v>1381809.2396</v>
      </c>
      <c r="C39">
        <v>1372894.3413</v>
      </c>
      <c r="D39">
        <v>1363979.443</v>
      </c>
    </row>
    <row r="40" spans="1:17" x14ac:dyDescent="0.35">
      <c r="A40" t="s">
        <v>113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  <c r="I40">
        <v>9064234.2419000007</v>
      </c>
      <c r="J40">
        <v>7469523.6037999997</v>
      </c>
      <c r="K40">
        <v>7279680.0177999996</v>
      </c>
      <c r="L40">
        <v>7739802.4197000004</v>
      </c>
      <c r="M40">
        <v>5635823.9815999996</v>
      </c>
      <c r="N40">
        <v>5727745.9976000004</v>
      </c>
      <c r="O40">
        <v>6103855.9348999998</v>
      </c>
      <c r="P40">
        <v>7200844.8433999997</v>
      </c>
      <c r="Q40">
        <v>6380858.4738999996</v>
      </c>
    </row>
    <row r="41" spans="1:17" x14ac:dyDescent="0.35">
      <c r="A41" t="s">
        <v>114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  <c r="I41">
        <v>9064234.2419000007</v>
      </c>
      <c r="J41">
        <v>7469523.6037999997</v>
      </c>
      <c r="K41">
        <v>7279680.0177999996</v>
      </c>
      <c r="L41">
        <v>7739802.4197000004</v>
      </c>
      <c r="M41">
        <v>5635823.9815999996</v>
      </c>
      <c r="N41">
        <v>5727745.9976000004</v>
      </c>
      <c r="O41">
        <v>6103855.9348999998</v>
      </c>
      <c r="P41">
        <v>7200844.8433999997</v>
      </c>
      <c r="Q41">
        <v>6380858.4738999996</v>
      </c>
    </row>
    <row r="42" spans="1:17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  <c r="I42">
        <v>4992214.2632999998</v>
      </c>
      <c r="J42">
        <v>4818087.6926999995</v>
      </c>
      <c r="K42">
        <v>4595968.6009999998</v>
      </c>
      <c r="L42">
        <v>4813935.6100000003</v>
      </c>
      <c r="M42">
        <v>5271849.5071</v>
      </c>
      <c r="N42">
        <v>5717319.3015000001</v>
      </c>
      <c r="O42">
        <v>6051471.4857000001</v>
      </c>
      <c r="P42">
        <v>7509148.9644999998</v>
      </c>
      <c r="Q42">
        <v>6551365.5464000003</v>
      </c>
    </row>
    <row r="43" spans="1:17" x14ac:dyDescent="0.35">
      <c r="A43" t="s">
        <v>116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  <c r="I43">
        <v>1226421.1036</v>
      </c>
      <c r="J43">
        <v>1292122.2342000001</v>
      </c>
      <c r="K43">
        <v>1173860.1991999999</v>
      </c>
      <c r="L43">
        <v>1173860.1991999999</v>
      </c>
      <c r="M43">
        <v>1265841.7819000001</v>
      </c>
      <c r="N43">
        <v>1300882.3848999999</v>
      </c>
      <c r="O43">
        <v>1519886.1534</v>
      </c>
      <c r="P43">
        <v>1458565.0981999999</v>
      </c>
      <c r="Q43">
        <v>1484845.5504000001</v>
      </c>
    </row>
    <row r="44" spans="1:17" x14ac:dyDescent="0.35">
      <c r="A44" t="s">
        <v>119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  <c r="I44">
        <v>407935.83675000002</v>
      </c>
      <c r="J44">
        <v>438897.12076999998</v>
      </c>
      <c r="K44">
        <v>389108.02889999998</v>
      </c>
      <c r="L44">
        <v>404588.67090999999</v>
      </c>
      <c r="M44">
        <v>407935.83675000002</v>
      </c>
      <c r="N44">
        <v>394547.17339000001</v>
      </c>
      <c r="O44">
        <v>388689.63316999999</v>
      </c>
      <c r="P44">
        <v>397057.54777</v>
      </c>
      <c r="Q44">
        <v>417140.54281000001</v>
      </c>
    </row>
    <row r="45" spans="1:17" x14ac:dyDescent="0.35">
      <c r="A45" t="s">
        <v>120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  <c r="I45">
        <v>1620088.352</v>
      </c>
      <c r="J45">
        <v>1746284.7078</v>
      </c>
      <c r="K45">
        <v>1568927.6672</v>
      </c>
      <c r="L45">
        <v>1657606.1875</v>
      </c>
      <c r="M45">
        <v>1722409.7216</v>
      </c>
      <c r="N45">
        <v>1869070.3514</v>
      </c>
      <c r="O45">
        <v>1974802.4332999999</v>
      </c>
      <c r="P45">
        <v>2271534.4051000001</v>
      </c>
      <c r="Q45">
        <v>1875891.7760000001</v>
      </c>
    </row>
    <row r="46" spans="1:17" x14ac:dyDescent="0.35">
      <c r="A46" t="s">
        <v>201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  <c r="I46">
        <v>699134.08452000003</v>
      </c>
      <c r="J46">
        <v>803521.68857</v>
      </c>
      <c r="K46">
        <v>646235.04978</v>
      </c>
      <c r="L46">
        <v>532343.22704000003</v>
      </c>
      <c r="M46">
        <v>462099.57020000002</v>
      </c>
      <c r="N46">
        <v>505033.02659999998</v>
      </c>
      <c r="O46">
        <v>456286.89262</v>
      </c>
      <c r="P46">
        <v>449493.53937999997</v>
      </c>
      <c r="Q46">
        <v>441567.96059999999</v>
      </c>
    </row>
    <row r="47" spans="1:17" x14ac:dyDescent="0.35">
      <c r="A47" t="s">
        <v>122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  <c r="I47">
        <v>3060043.1</v>
      </c>
      <c r="J47">
        <v>3131661.13</v>
      </c>
      <c r="K47">
        <v>3047021.64</v>
      </c>
      <c r="L47">
        <v>2298287.69</v>
      </c>
      <c r="M47">
        <v>2317819.88</v>
      </c>
      <c r="N47">
        <v>3379068.87</v>
      </c>
      <c r="O47">
        <v>3698094.64</v>
      </c>
      <c r="P47">
        <v>6627923.1399999997</v>
      </c>
      <c r="Q47">
        <v>4674704.1399999997</v>
      </c>
    </row>
    <row r="48" spans="1:17" x14ac:dyDescent="0.35">
      <c r="A48" t="s">
        <v>208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  <c r="I48">
        <v>27096362.089000002</v>
      </c>
      <c r="J48">
        <v>27724624.899999999</v>
      </c>
      <c r="K48">
        <v>24829522.662999999</v>
      </c>
      <c r="L48">
        <v>28951022.375999998</v>
      </c>
      <c r="M48">
        <v>29910524.324000001</v>
      </c>
      <c r="N48">
        <v>31920640.206</v>
      </c>
      <c r="O48">
        <v>32101550.636</v>
      </c>
      <c r="P48">
        <v>33695773.265000001</v>
      </c>
      <c r="Q48">
        <v>30277944.234999999</v>
      </c>
    </row>
    <row r="49" spans="1:17" x14ac:dyDescent="0.35">
      <c r="A49" t="s">
        <v>123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  <c r="I49">
        <v>5357150.8419000003</v>
      </c>
      <c r="J49">
        <v>5955295.8064000001</v>
      </c>
      <c r="K49">
        <v>5031407.0877</v>
      </c>
      <c r="L49">
        <v>5088960.8112000003</v>
      </c>
      <c r="M49">
        <v>4964765.9342999998</v>
      </c>
      <c r="N49">
        <v>4922357.9275000002</v>
      </c>
      <c r="O49">
        <v>5379758.5718</v>
      </c>
      <c r="P49">
        <v>3613768.0046000001</v>
      </c>
      <c r="Q49">
        <v>3865186.9018000001</v>
      </c>
    </row>
    <row r="50" spans="1:17" x14ac:dyDescent="0.35">
      <c r="A50" t="s">
        <v>124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  <c r="I50">
        <v>1429547.7012</v>
      </c>
      <c r="J50">
        <v>1445333.6561</v>
      </c>
      <c r="K50">
        <v>1442551.5315</v>
      </c>
      <c r="L50">
        <v>1852843.8770999999</v>
      </c>
      <c r="M50">
        <v>1705295.8525</v>
      </c>
      <c r="N50">
        <v>1710112.3391</v>
      </c>
      <c r="O50">
        <v>2008565.6338</v>
      </c>
      <c r="P50">
        <v>2157813.4169000001</v>
      </c>
      <c r="Q50">
        <v>1994420.669</v>
      </c>
    </row>
    <row r="51" spans="1:17" x14ac:dyDescent="0.35">
      <c r="A51" t="s">
        <v>125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  <c r="I51">
        <v>1429547.7012</v>
      </c>
      <c r="J51">
        <v>1445333.6561</v>
      </c>
      <c r="K51">
        <v>1442551.5315</v>
      </c>
      <c r="L51">
        <v>1852843.8770999999</v>
      </c>
      <c r="M51">
        <v>1705295.8525</v>
      </c>
      <c r="N51">
        <v>1710112.3391</v>
      </c>
      <c r="O51">
        <v>2008565.6338</v>
      </c>
      <c r="P51">
        <v>2157813.4169000001</v>
      </c>
      <c r="Q51">
        <v>1994420.669</v>
      </c>
    </row>
    <row r="52" spans="1:17" x14ac:dyDescent="0.35">
      <c r="A52" t="s">
        <v>126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  <c r="I52">
        <v>1429547.7012</v>
      </c>
      <c r="J52">
        <v>1445333.6561</v>
      </c>
      <c r="K52">
        <v>1442551.5315</v>
      </c>
      <c r="L52">
        <v>1852843.8770999999</v>
      </c>
      <c r="M52">
        <v>1705295.8525</v>
      </c>
      <c r="N52">
        <v>1710112.3391</v>
      </c>
      <c r="O52">
        <v>2008565.6338</v>
      </c>
      <c r="P52">
        <v>2157813.4169000001</v>
      </c>
      <c r="Q52">
        <v>1994420.669</v>
      </c>
    </row>
    <row r="53" spans="1:17" x14ac:dyDescent="0.35">
      <c r="A53" t="s">
        <v>173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  <c r="I53">
        <v>571363.05911999999</v>
      </c>
      <c r="J53">
        <v>588632.41608</v>
      </c>
      <c r="K53">
        <v>559649.46083999996</v>
      </c>
      <c r="L53">
        <v>570799.48679999996</v>
      </c>
      <c r="M53">
        <v>610644.04079999996</v>
      </c>
      <c r="N53">
        <v>628769.15411999996</v>
      </c>
      <c r="O53">
        <v>626408.60820000002</v>
      </c>
      <c r="P53">
        <v>632172.12379999994</v>
      </c>
      <c r="Q53">
        <v>640597.79006000003</v>
      </c>
    </row>
    <row r="54" spans="1:17" x14ac:dyDescent="0.35">
      <c r="A54" t="s">
        <v>462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</row>
    <row r="55" spans="1:17" x14ac:dyDescent="0.35">
      <c r="A55" t="s">
        <v>127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  <c r="I55">
        <v>3659341.52</v>
      </c>
      <c r="J55">
        <v>3752092.0321</v>
      </c>
      <c r="K55">
        <v>3937447.12</v>
      </c>
      <c r="L55">
        <v>3817312.56</v>
      </c>
      <c r="M55">
        <v>3865912.12</v>
      </c>
      <c r="N55">
        <v>3852033.83</v>
      </c>
      <c r="O55">
        <v>4680442.75</v>
      </c>
      <c r="P55">
        <v>5104696.5599999996</v>
      </c>
      <c r="Q55">
        <v>4689893.33</v>
      </c>
    </row>
    <row r="56" spans="1:17" x14ac:dyDescent="0.35">
      <c r="A56" t="s">
        <v>128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  <c r="I56">
        <v>3659341.52</v>
      </c>
      <c r="J56">
        <v>3752092.0321</v>
      </c>
      <c r="K56">
        <v>3937447.12</v>
      </c>
      <c r="L56">
        <v>3817312.56</v>
      </c>
      <c r="M56">
        <v>3865912.12</v>
      </c>
      <c r="N56">
        <v>3852033.83</v>
      </c>
      <c r="O56">
        <v>4680442.75</v>
      </c>
      <c r="P56">
        <v>5104696.5599999996</v>
      </c>
      <c r="Q56">
        <v>4689893.33</v>
      </c>
    </row>
    <row r="57" spans="1:17" x14ac:dyDescent="0.35">
      <c r="A57" t="s">
        <v>129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  <c r="I57">
        <v>37211000.859999999</v>
      </c>
      <c r="J57">
        <v>35180942.560000002</v>
      </c>
      <c r="K57">
        <v>34246209.799999997</v>
      </c>
      <c r="L57">
        <v>35445962.68</v>
      </c>
      <c r="M57">
        <v>35082088.960000001</v>
      </c>
      <c r="N57">
        <v>35501260.280000001</v>
      </c>
      <c r="O57">
        <v>35499800.439999998</v>
      </c>
      <c r="P57">
        <v>36293962.579999998</v>
      </c>
      <c r="Q57">
        <v>35387745.399999999</v>
      </c>
    </row>
    <row r="58" spans="1:17" x14ac:dyDescent="0.35">
      <c r="A58" t="s">
        <v>140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  <c r="I58">
        <v>27431824.916999999</v>
      </c>
      <c r="J58">
        <v>26942940.908</v>
      </c>
      <c r="K58">
        <v>27703427.144000001</v>
      </c>
      <c r="L58">
        <v>28246631.598000001</v>
      </c>
      <c r="M58">
        <v>30039206.295000002</v>
      </c>
      <c r="N58">
        <v>32972510.346000001</v>
      </c>
      <c r="O58">
        <v>29333040.504999999</v>
      </c>
      <c r="P58">
        <v>31994742.329</v>
      </c>
      <c r="Q58">
        <v>29604642.732000001</v>
      </c>
    </row>
    <row r="59" spans="1:17" x14ac:dyDescent="0.35">
      <c r="A59" t="s">
        <v>130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  <c r="I59">
        <v>2029734.1096999999</v>
      </c>
      <c r="J59">
        <v>2144663.8091000002</v>
      </c>
      <c r="K59">
        <v>2625129.6288000001</v>
      </c>
      <c r="L59">
        <v>2923394.7439999999</v>
      </c>
      <c r="M59">
        <v>2858702.6896000002</v>
      </c>
      <c r="N59">
        <v>2663622.6228999998</v>
      </c>
      <c r="O59">
        <v>2745595.6264999998</v>
      </c>
      <c r="P59">
        <v>3609516.9929999998</v>
      </c>
      <c r="Q59">
        <v>2933405.6258</v>
      </c>
    </row>
    <row r="60" spans="1:17" x14ac:dyDescent="0.35">
      <c r="A60" t="s">
        <v>131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  <c r="I60">
        <v>2029734.1096999999</v>
      </c>
      <c r="J60">
        <v>2144663.8091000002</v>
      </c>
      <c r="K60">
        <v>2625129.6288000001</v>
      </c>
      <c r="L60">
        <v>2923394.7439999999</v>
      </c>
      <c r="M60">
        <v>2858702.6896000002</v>
      </c>
      <c r="N60">
        <v>2663622.6228999998</v>
      </c>
      <c r="O60">
        <v>2745595.6264999998</v>
      </c>
      <c r="P60">
        <v>3609516.9929999998</v>
      </c>
      <c r="Q60">
        <v>2933405.6258</v>
      </c>
    </row>
    <row r="61" spans="1:17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  <c r="I61">
        <v>5370600.9079999998</v>
      </c>
      <c r="J61">
        <v>5097265.2483999999</v>
      </c>
      <c r="K61">
        <v>5024706.3125</v>
      </c>
      <c r="L61">
        <v>5296802.3222000003</v>
      </c>
      <c r="M61">
        <v>6059331.3671000004</v>
      </c>
      <c r="N61">
        <v>6784999.7943000002</v>
      </c>
      <c r="O61">
        <v>7075267.1651999997</v>
      </c>
      <c r="P61">
        <v>9079926.1962000001</v>
      </c>
      <c r="Q61">
        <v>6306058.6330000004</v>
      </c>
    </row>
    <row r="62" spans="1:17" x14ac:dyDescent="0.35">
      <c r="A62" t="s">
        <v>137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  <c r="I62">
        <v>46654782.276000001</v>
      </c>
      <c r="J62">
        <v>47081116.417999998</v>
      </c>
      <c r="K62">
        <v>44016119.608000003</v>
      </c>
      <c r="L62">
        <v>45364257.303000003</v>
      </c>
      <c r="M62">
        <v>45398824.935999997</v>
      </c>
      <c r="N62">
        <v>47933784.704000004</v>
      </c>
      <c r="O62">
        <v>56195449.038999997</v>
      </c>
      <c r="P62">
        <v>59295013.482000001</v>
      </c>
      <c r="Q62">
        <v>61403639.108000003</v>
      </c>
    </row>
    <row r="63" spans="1:17" x14ac:dyDescent="0.35">
      <c r="A63" t="s">
        <v>134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  <c r="I63">
        <v>36314489.758000001</v>
      </c>
      <c r="J63">
        <v>35966817.399999999</v>
      </c>
      <c r="K63">
        <v>34309950.520999998</v>
      </c>
      <c r="L63">
        <v>34632382.100000001</v>
      </c>
      <c r="M63">
        <v>37213936.493000001</v>
      </c>
      <c r="N63">
        <v>40283465.821999997</v>
      </c>
      <c r="O63">
        <v>41774738.696999997</v>
      </c>
      <c r="P63">
        <v>39145526.884000003</v>
      </c>
      <c r="Q63">
        <v>36398158.597999997</v>
      </c>
    </row>
    <row r="64" spans="1:17" x14ac:dyDescent="0.35">
      <c r="A64" t="s">
        <v>135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  <c r="I64">
        <v>36314489.758000001</v>
      </c>
      <c r="J64">
        <v>35966817.399999999</v>
      </c>
      <c r="K64">
        <v>34309950.520999998</v>
      </c>
      <c r="L64">
        <v>34632382.100000001</v>
      </c>
      <c r="M64">
        <v>37213936.493000001</v>
      </c>
      <c r="N64">
        <v>40283465.821999997</v>
      </c>
      <c r="O64">
        <v>41774738.696999997</v>
      </c>
      <c r="P64">
        <v>39145526.884000003</v>
      </c>
      <c r="Q64">
        <v>36398158.597999997</v>
      </c>
    </row>
    <row r="65" spans="1:17" x14ac:dyDescent="0.35">
      <c r="A65" t="s">
        <v>463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  <c r="I65">
        <v>17884800.909000002</v>
      </c>
      <c r="J65">
        <v>17884800.909000002</v>
      </c>
    </row>
    <row r="66" spans="1:17" x14ac:dyDescent="0.35">
      <c r="A66" t="s">
        <v>138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  <c r="I66">
        <v>629624.85536000005</v>
      </c>
      <c r="J66">
        <v>520119.60768000002</v>
      </c>
      <c r="K66">
        <v>482932.51063999999</v>
      </c>
      <c r="L66">
        <v>457672.89676999999</v>
      </c>
      <c r="M66">
        <v>395423.66931999999</v>
      </c>
      <c r="N66">
        <v>570018.94191000005</v>
      </c>
      <c r="O66">
        <v>522968.98082</v>
      </c>
      <c r="P66">
        <v>535359.07877999998</v>
      </c>
      <c r="Q66">
        <v>518610.13245999999</v>
      </c>
    </row>
    <row r="67" spans="1:17" x14ac:dyDescent="0.35">
      <c r="A67" t="s">
        <v>139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  <c r="I67">
        <v>629624.85536000005</v>
      </c>
      <c r="J67">
        <v>520119.60768000002</v>
      </c>
      <c r="K67">
        <v>482932.51063999999</v>
      </c>
      <c r="L67">
        <v>457672.89676999999</v>
      </c>
      <c r="M67">
        <v>395423.66931999999</v>
      </c>
      <c r="N67">
        <v>570018.94191000005</v>
      </c>
      <c r="O67">
        <v>522968.98082</v>
      </c>
      <c r="P67">
        <v>535359.07877999998</v>
      </c>
      <c r="Q67">
        <v>518610.13245999999</v>
      </c>
    </row>
    <row r="68" spans="1:17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  <c r="I68">
        <v>15296648.284</v>
      </c>
      <c r="J68">
        <v>12750519.857000001</v>
      </c>
      <c r="K68">
        <v>11096297.892999999</v>
      </c>
      <c r="L68">
        <v>10873256.729</v>
      </c>
      <c r="M68">
        <v>11471398.968</v>
      </c>
      <c r="N68">
        <v>11434214.530999999</v>
      </c>
      <c r="O68">
        <v>24388806.75</v>
      </c>
      <c r="P68">
        <v>23360628.721999999</v>
      </c>
      <c r="Q68">
        <v>21064160.136</v>
      </c>
    </row>
    <row r="69" spans="1:17" x14ac:dyDescent="0.35">
      <c r="A69" t="s">
        <v>133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  <c r="I69">
        <v>9054842.2799999993</v>
      </c>
      <c r="J69">
        <v>10605692.57</v>
      </c>
      <c r="K69">
        <v>9843538.7599999998</v>
      </c>
      <c r="L69">
        <v>11333720.09</v>
      </c>
      <c r="M69">
        <v>13077952.689999999</v>
      </c>
      <c r="N69">
        <v>14329249.99</v>
      </c>
      <c r="O69">
        <v>15785305.029999999</v>
      </c>
      <c r="P69">
        <v>19395108.149999999</v>
      </c>
      <c r="Q69">
        <v>16653629.52</v>
      </c>
    </row>
    <row r="70" spans="1:17" x14ac:dyDescent="0.35">
      <c r="A70" t="s">
        <v>246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  <c r="I70">
        <v>10940275.062000001</v>
      </c>
      <c r="J70">
        <v>9866138.9657000005</v>
      </c>
      <c r="K70">
        <v>10529185.938999999</v>
      </c>
      <c r="L70">
        <v>10091574.936000001</v>
      </c>
      <c r="M70">
        <v>10476142.181</v>
      </c>
      <c r="N70">
        <v>12518326.858999999</v>
      </c>
      <c r="O70">
        <v>11192232.912</v>
      </c>
      <c r="P70">
        <v>13353766.046</v>
      </c>
      <c r="Q70">
        <v>11855279.886</v>
      </c>
    </row>
    <row r="71" spans="1:17" x14ac:dyDescent="0.35">
      <c r="A71" t="s">
        <v>141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  <c r="I71">
        <v>747186.1</v>
      </c>
      <c r="J71">
        <v>785498</v>
      </c>
      <c r="K71">
        <v>743329.16</v>
      </c>
      <c r="L71">
        <v>781363.8</v>
      </c>
      <c r="M71">
        <v>768677.91</v>
      </c>
      <c r="N71">
        <v>738079.65</v>
      </c>
      <c r="O71">
        <v>802170.6</v>
      </c>
      <c r="P71">
        <v>796795.23</v>
      </c>
      <c r="Q71">
        <v>700865.55</v>
      </c>
    </row>
    <row r="72" spans="1:17" x14ac:dyDescent="0.35">
      <c r="A72" t="s">
        <v>136</v>
      </c>
    </row>
    <row r="73" spans="1:17" x14ac:dyDescent="0.35">
      <c r="A73" t="s">
        <v>142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  <c r="I73">
        <v>8308083.6941</v>
      </c>
      <c r="J73">
        <v>8616152.5977999996</v>
      </c>
      <c r="K73">
        <v>8595721.3416000009</v>
      </c>
      <c r="L73">
        <v>9970453.0061000008</v>
      </c>
      <c r="M73">
        <v>10090121.791999999</v>
      </c>
      <c r="N73">
        <v>10198115.573999999</v>
      </c>
      <c r="O73">
        <v>11199247.126</v>
      </c>
      <c r="P73">
        <v>10643044.372</v>
      </c>
      <c r="Q73">
        <v>9928373.9546000008</v>
      </c>
    </row>
    <row r="74" spans="1:17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  <c r="I74">
        <v>1243719.9993</v>
      </c>
      <c r="J74">
        <v>1257383.9304</v>
      </c>
      <c r="K74">
        <v>1252144.8307</v>
      </c>
      <c r="L74">
        <v>1115928.2382</v>
      </c>
      <c r="M74">
        <v>1016408.7609</v>
      </c>
      <c r="N74">
        <v>979922.29255999997</v>
      </c>
      <c r="O74">
        <v>979922.29255999997</v>
      </c>
      <c r="P74">
        <v>1364492.3006</v>
      </c>
      <c r="Q74">
        <v>1124924.9501</v>
      </c>
    </row>
    <row r="75" spans="1:17" x14ac:dyDescent="0.35">
      <c r="A75" t="s">
        <v>118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  <c r="I75">
        <v>45210000</v>
      </c>
      <c r="J75">
        <v>44070000</v>
      </c>
      <c r="K75">
        <v>41280000</v>
      </c>
      <c r="L75">
        <v>42300000</v>
      </c>
      <c r="M75">
        <v>45330000</v>
      </c>
      <c r="N75">
        <v>44910000</v>
      </c>
      <c r="O75">
        <v>48570000</v>
      </c>
      <c r="P75">
        <v>51930000</v>
      </c>
      <c r="Q75">
        <v>49860000</v>
      </c>
    </row>
    <row r="76" spans="1:17" x14ac:dyDescent="0.35">
      <c r="A76" t="s">
        <v>143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  <c r="I76">
        <v>9146785.6699999999</v>
      </c>
      <c r="J76">
        <v>9575369.5399999991</v>
      </c>
      <c r="K76">
        <v>9077186.5800000001</v>
      </c>
      <c r="L76">
        <v>10300665.32</v>
      </c>
      <c r="M76">
        <v>11245747.699999999</v>
      </c>
      <c r="N76">
        <v>11161496.17</v>
      </c>
      <c r="O76">
        <v>13088292.029999999</v>
      </c>
      <c r="P76">
        <v>13002018.9</v>
      </c>
      <c r="Q76">
        <v>10933633.155999999</v>
      </c>
    </row>
    <row r="77" spans="1:17" x14ac:dyDescent="0.35">
      <c r="A77" t="s">
        <v>145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  <c r="I77">
        <v>1986935.3814999999</v>
      </c>
      <c r="J77">
        <v>1637057.8986</v>
      </c>
      <c r="K77">
        <v>1499595.0216000001</v>
      </c>
      <c r="L77">
        <v>1662051.1488999999</v>
      </c>
      <c r="M77">
        <v>1612209.1592000001</v>
      </c>
      <c r="N77">
        <v>2174607.7031</v>
      </c>
      <c r="O77">
        <v>3924292.0619000001</v>
      </c>
      <c r="P77">
        <v>5324039.5488999998</v>
      </c>
      <c r="Q77">
        <v>5673976.4206999997</v>
      </c>
    </row>
    <row r="78" spans="1:17" x14ac:dyDescent="0.35">
      <c r="A78" t="s">
        <v>146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  <c r="I78">
        <v>1094997.3271999999</v>
      </c>
      <c r="J78">
        <v>1137703.7792</v>
      </c>
      <c r="K78">
        <v>958127.31714000006</v>
      </c>
      <c r="L78">
        <v>987091.26263999997</v>
      </c>
      <c r="M78">
        <v>1182104.1732000001</v>
      </c>
      <c r="N78">
        <v>1773156.2598000001</v>
      </c>
      <c r="O78">
        <v>1912227.3389999999</v>
      </c>
      <c r="P78">
        <v>1727982.3381000001</v>
      </c>
      <c r="Q78">
        <v>1981641.8456999999</v>
      </c>
    </row>
    <row r="79" spans="1:17" x14ac:dyDescent="0.35">
      <c r="A79" t="s">
        <v>148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  <c r="I79">
        <v>1014123.2733999999</v>
      </c>
      <c r="J79">
        <v>997009.84</v>
      </c>
      <c r="K79">
        <v>927828.53397999995</v>
      </c>
      <c r="L79">
        <v>900199.29578000004</v>
      </c>
      <c r="M79">
        <v>865663.77159999998</v>
      </c>
      <c r="N79">
        <v>849859.39188000001</v>
      </c>
      <c r="O79">
        <v>875561.44565999997</v>
      </c>
      <c r="P79">
        <v>898549.03793999995</v>
      </c>
      <c r="Q79">
        <v>964446.58953</v>
      </c>
    </row>
    <row r="80" spans="1:17" x14ac:dyDescent="0.35">
      <c r="A80" t="s">
        <v>150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  <c r="I80">
        <v>7047910.4347000001</v>
      </c>
      <c r="J80">
        <v>7075644.4649999999</v>
      </c>
      <c r="K80">
        <v>6848572.0924000004</v>
      </c>
      <c r="L80">
        <v>8034201.8850999996</v>
      </c>
      <c r="M80">
        <v>8407780.2363000009</v>
      </c>
      <c r="N80">
        <v>8828949.1906000003</v>
      </c>
      <c r="O80">
        <v>9624490.5486999992</v>
      </c>
      <c r="P80">
        <v>7239515.3244000003</v>
      </c>
      <c r="Q80">
        <v>7327738.8086000001</v>
      </c>
    </row>
    <row r="81" spans="1:17" x14ac:dyDescent="0.35">
      <c r="A81" t="s">
        <v>144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  <c r="I81">
        <v>273256.2</v>
      </c>
      <c r="J81">
        <v>262629.57</v>
      </c>
      <c r="K81">
        <v>247448.67</v>
      </c>
      <c r="L81">
        <v>247448.67</v>
      </c>
      <c r="M81">
        <v>253015</v>
      </c>
      <c r="N81">
        <v>274774.28999999998</v>
      </c>
      <c r="O81">
        <v>307666.24</v>
      </c>
      <c r="P81">
        <v>353714.97</v>
      </c>
      <c r="Q81">
        <v>349160.7</v>
      </c>
    </row>
    <row r="82" spans="1:17" x14ac:dyDescent="0.35">
      <c r="A82" t="s">
        <v>147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  <c r="I82">
        <v>4486425.75</v>
      </c>
      <c r="J82">
        <v>4594996.3499999996</v>
      </c>
      <c r="K82">
        <v>4619308.5</v>
      </c>
      <c r="L82">
        <v>4651724.7</v>
      </c>
      <c r="M82">
        <v>4700349</v>
      </c>
      <c r="N82">
        <v>4343770.8</v>
      </c>
      <c r="O82">
        <v>4303250.55</v>
      </c>
      <c r="P82">
        <v>5200851.6900000004</v>
      </c>
      <c r="Q82">
        <v>4538265</v>
      </c>
    </row>
    <row r="83" spans="1:17" x14ac:dyDescent="0.35">
      <c r="A83" t="s">
        <v>151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  <c r="I83">
        <v>4695441.75</v>
      </c>
      <c r="J83">
        <v>5210201.29</v>
      </c>
      <c r="K83">
        <v>4695441.75</v>
      </c>
      <c r="L83">
        <v>5641486.3099999996</v>
      </c>
      <c r="M83">
        <v>5446712.4299999997</v>
      </c>
      <c r="N83">
        <v>5544099.3700000001</v>
      </c>
      <c r="O83">
        <v>7526619.2199999997</v>
      </c>
      <c r="P83">
        <v>8222240.2199999997</v>
      </c>
      <c r="Q83">
        <v>7373582.5999999996</v>
      </c>
    </row>
    <row r="84" spans="1:17" x14ac:dyDescent="0.35">
      <c r="A84" t="s">
        <v>158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  <c r="I84">
        <v>33501993.004000001</v>
      </c>
      <c r="J84">
        <v>37051278.673</v>
      </c>
      <c r="K84">
        <v>33298011.068999998</v>
      </c>
      <c r="L84">
        <v>32588153.936000001</v>
      </c>
      <c r="M84">
        <v>33208259.017999999</v>
      </c>
      <c r="N84">
        <v>32637109.600000001</v>
      </c>
      <c r="O84">
        <v>35000036.335000001</v>
      </c>
      <c r="P84">
        <v>37433132.855999999</v>
      </c>
      <c r="Q84">
        <v>35833914.484999999</v>
      </c>
    </row>
    <row r="85" spans="1:17" x14ac:dyDescent="0.35">
      <c r="A85" t="s">
        <v>152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  <c r="I85">
        <v>95683221.111000001</v>
      </c>
      <c r="J85">
        <v>91610498.930999994</v>
      </c>
      <c r="K85">
        <v>86704572.890000001</v>
      </c>
      <c r="L85">
        <v>101994158.97</v>
      </c>
      <c r="M85">
        <v>118897291.59999999</v>
      </c>
      <c r="N85">
        <v>126284886.56999999</v>
      </c>
      <c r="O85">
        <v>141763903.09</v>
      </c>
      <c r="P85">
        <v>154390846.28</v>
      </c>
      <c r="Q85">
        <v>143319425.03999999</v>
      </c>
    </row>
    <row r="86" spans="1:17" x14ac:dyDescent="0.35">
      <c r="A86" t="s">
        <v>153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  <c r="I86">
        <v>95683221.111000001</v>
      </c>
      <c r="J86">
        <v>91610498.930999994</v>
      </c>
      <c r="K86">
        <v>86704572.890000001</v>
      </c>
      <c r="L86">
        <v>101994158.97</v>
      </c>
      <c r="M86">
        <v>118897291.59999999</v>
      </c>
      <c r="N86">
        <v>126284886.56999999</v>
      </c>
      <c r="O86">
        <v>141763903.09</v>
      </c>
      <c r="P86">
        <v>154390846.28</v>
      </c>
      <c r="Q86">
        <v>143319425.03999999</v>
      </c>
    </row>
    <row r="87" spans="1:17" x14ac:dyDescent="0.35">
      <c r="A87" t="s">
        <v>464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  <c r="I87">
        <v>4462992.6743999999</v>
      </c>
      <c r="J87">
        <v>4434383.7470000004</v>
      </c>
    </row>
    <row r="88" spans="1:17" x14ac:dyDescent="0.35">
      <c r="A88" t="s">
        <v>154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  <c r="I88">
        <v>1120971.98</v>
      </c>
      <c r="J88">
        <v>1126483.54</v>
      </c>
      <c r="K88">
        <v>2862598.42</v>
      </c>
      <c r="L88">
        <v>2834280.66</v>
      </c>
      <c r="M88">
        <v>1289415.3999999999</v>
      </c>
      <c r="N88">
        <v>1495574.08</v>
      </c>
      <c r="O88">
        <v>1370327.14</v>
      </c>
      <c r="P88">
        <v>1805583.6</v>
      </c>
      <c r="Q88">
        <v>1650133.56</v>
      </c>
    </row>
    <row r="89" spans="1:17" x14ac:dyDescent="0.35">
      <c r="A89" t="s">
        <v>493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  <c r="I89">
        <v>48041237.340000004</v>
      </c>
      <c r="J89">
        <v>56491917.659999996</v>
      </c>
      <c r="K89">
        <v>55934407.5</v>
      </c>
      <c r="L89">
        <v>55897729.200000003</v>
      </c>
      <c r="M89">
        <v>58898014.140000001</v>
      </c>
      <c r="N89">
        <v>63812906.340000004</v>
      </c>
      <c r="O89">
        <v>61648886.640000001</v>
      </c>
      <c r="P89">
        <v>70072163.700000003</v>
      </c>
      <c r="Q89">
        <v>64037067.600000001</v>
      </c>
    </row>
    <row r="90" spans="1:17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  <c r="I90">
        <v>26693680.420000002</v>
      </c>
      <c r="J90">
        <v>26090220.388</v>
      </c>
      <c r="K90">
        <v>26092560.600000001</v>
      </c>
      <c r="L90">
        <v>28947033.088</v>
      </c>
      <c r="M90">
        <v>31706166.679000001</v>
      </c>
      <c r="N90">
        <v>35077940.295999996</v>
      </c>
      <c r="O90">
        <v>38066557.82</v>
      </c>
      <c r="P90">
        <v>40461801.600000001</v>
      </c>
      <c r="Q90">
        <v>38660944.899999999</v>
      </c>
    </row>
    <row r="91" spans="1:17" x14ac:dyDescent="0.35">
      <c r="A91" t="s">
        <v>157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  <c r="I91">
        <v>23643736.734999999</v>
      </c>
      <c r="J91">
        <v>23577845.897</v>
      </c>
      <c r="K91">
        <v>22157234.173</v>
      </c>
      <c r="L91">
        <v>24625377.379000001</v>
      </c>
      <c r="M91">
        <v>24981157.927999999</v>
      </c>
      <c r="N91">
        <v>26387348.056000002</v>
      </c>
      <c r="O91">
        <v>27044216.103999998</v>
      </c>
      <c r="P91">
        <v>27487860.044</v>
      </c>
      <c r="Q91">
        <v>25402114.805</v>
      </c>
    </row>
    <row r="92" spans="1:17" x14ac:dyDescent="0.35">
      <c r="A92" t="s">
        <v>155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  <c r="I92">
        <v>23643736.734999999</v>
      </c>
      <c r="J92">
        <v>23577845.897</v>
      </c>
      <c r="K92">
        <v>22157234.173</v>
      </c>
      <c r="L92">
        <v>24625377.379000001</v>
      </c>
      <c r="M92">
        <v>24981157.927999999</v>
      </c>
      <c r="N92">
        <v>26387348.056000002</v>
      </c>
      <c r="O92">
        <v>27044216.103999998</v>
      </c>
      <c r="P92">
        <v>27487860.044</v>
      </c>
      <c r="Q92">
        <v>25402114.805</v>
      </c>
    </row>
    <row r="93" spans="1:17" x14ac:dyDescent="0.35">
      <c r="A93" t="s">
        <v>156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  <c r="I93">
        <v>23643736.734999999</v>
      </c>
      <c r="J93">
        <v>23577845.897</v>
      </c>
      <c r="K93">
        <v>22157234.173</v>
      </c>
      <c r="L93">
        <v>24625377.379000001</v>
      </c>
      <c r="M93">
        <v>24981157.927999999</v>
      </c>
      <c r="N93">
        <v>26387348.056000002</v>
      </c>
      <c r="O93">
        <v>27044216.103999998</v>
      </c>
      <c r="P93">
        <v>27487860.044</v>
      </c>
      <c r="Q93">
        <v>25402114.805</v>
      </c>
    </row>
    <row r="94" spans="1:17" x14ac:dyDescent="0.35">
      <c r="A94" t="s">
        <v>159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  <c r="I94">
        <v>243970.23</v>
      </c>
      <c r="J94">
        <v>239869.89</v>
      </c>
      <c r="K94">
        <v>211167.51</v>
      </c>
      <c r="L94">
        <v>196816.32</v>
      </c>
      <c r="M94">
        <v>190665.81</v>
      </c>
      <c r="N94">
        <v>184515.3</v>
      </c>
      <c r="O94">
        <v>211167.51</v>
      </c>
      <c r="P94">
        <v>227568.87</v>
      </c>
      <c r="Q94">
        <v>219368.19</v>
      </c>
    </row>
    <row r="95" spans="1:17" x14ac:dyDescent="0.35">
      <c r="A95" t="s">
        <v>160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  <c r="I95">
        <v>12812629.24</v>
      </c>
      <c r="J95">
        <v>12484150.823000001</v>
      </c>
      <c r="K95">
        <v>12684057.810000001</v>
      </c>
      <c r="L95">
        <v>12173601.516000001</v>
      </c>
      <c r="M95">
        <v>12835969.142999999</v>
      </c>
      <c r="N95">
        <v>12328084.991</v>
      </c>
      <c r="O95">
        <v>13055520.039999999</v>
      </c>
      <c r="P95">
        <v>14135944.548</v>
      </c>
      <c r="Q95">
        <v>13241022.153999999</v>
      </c>
    </row>
    <row r="96" spans="1:17" x14ac:dyDescent="0.35">
      <c r="A96" t="s">
        <v>161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  <c r="I96">
        <v>12812629.24</v>
      </c>
      <c r="J96">
        <v>12484150.823000001</v>
      </c>
      <c r="K96">
        <v>12684057.810000001</v>
      </c>
      <c r="L96">
        <v>12173601.516000001</v>
      </c>
      <c r="M96">
        <v>12835969.142999999</v>
      </c>
      <c r="N96">
        <v>12328084.991</v>
      </c>
      <c r="O96">
        <v>13055520.039999999</v>
      </c>
      <c r="P96">
        <v>14135944.548</v>
      </c>
      <c r="Q96">
        <v>13241022.153999999</v>
      </c>
    </row>
    <row r="97" spans="1:17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  <c r="I97">
        <v>45881618.125</v>
      </c>
      <c r="J97">
        <v>45032130.986000001</v>
      </c>
      <c r="K97">
        <v>43241364.931999996</v>
      </c>
      <c r="L97">
        <v>45796024.197999999</v>
      </c>
      <c r="M97">
        <v>46362125.737000003</v>
      </c>
      <c r="N97">
        <v>45985707.936999999</v>
      </c>
      <c r="O97">
        <v>50027653.174000002</v>
      </c>
      <c r="P97">
        <v>51482437.395000003</v>
      </c>
      <c r="Q97">
        <v>48437777.119000003</v>
      </c>
    </row>
    <row r="98" spans="1:17" x14ac:dyDescent="0.35">
      <c r="A98" t="s">
        <v>162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  <c r="I98">
        <v>1704433.02</v>
      </c>
      <c r="J98">
        <v>1797173.48</v>
      </c>
      <c r="K98">
        <v>1641327.36</v>
      </c>
      <c r="L98">
        <v>1672358.62</v>
      </c>
      <c r="M98">
        <v>1752479.63</v>
      </c>
      <c r="N98">
        <v>1598118.7</v>
      </c>
      <c r="O98">
        <v>1708827.49</v>
      </c>
      <c r="P98">
        <v>1934940</v>
      </c>
      <c r="Q98">
        <v>1718960.5763999999</v>
      </c>
    </row>
    <row r="99" spans="1:17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  <c r="I99">
        <v>1415396.4447000001</v>
      </c>
      <c r="J99">
        <v>1465211.692</v>
      </c>
      <c r="K99">
        <v>1384683.9717000001</v>
      </c>
      <c r="L99">
        <v>1520206.2328000001</v>
      </c>
      <c r="M99">
        <v>1540358.0545999999</v>
      </c>
      <c r="N99">
        <v>1461868.4722</v>
      </c>
      <c r="O99">
        <v>1620809.8766000001</v>
      </c>
      <c r="P99">
        <v>1558362.6887999999</v>
      </c>
      <c r="Q99">
        <v>1525039.2098999999</v>
      </c>
    </row>
    <row r="100" spans="1:17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  <c r="I100">
        <v>2907615.6209999998</v>
      </c>
      <c r="J100">
        <v>3036309.7858000002</v>
      </c>
      <c r="K100">
        <v>2957784.5326999999</v>
      </c>
      <c r="L100">
        <v>3223897.8903000001</v>
      </c>
      <c r="M100">
        <v>3585986.5573</v>
      </c>
      <c r="N100">
        <v>4046231.7905999999</v>
      </c>
      <c r="O100">
        <v>4421407.9998000003</v>
      </c>
      <c r="P100">
        <v>4199215.6688000001</v>
      </c>
      <c r="Q100">
        <v>3808139.4407000002</v>
      </c>
    </row>
    <row r="101" spans="1:17" x14ac:dyDescent="0.35">
      <c r="A101" t="s">
        <v>465</v>
      </c>
    </row>
    <row r="102" spans="1:17" x14ac:dyDescent="0.35">
      <c r="A102" t="s">
        <v>163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  <c r="I102">
        <v>2971635.3360000001</v>
      </c>
      <c r="J102">
        <v>2864816.84</v>
      </c>
      <c r="K102">
        <v>2805210.1669999999</v>
      </c>
      <c r="L102">
        <v>2854193.9720000001</v>
      </c>
      <c r="M102">
        <v>2768992.02</v>
      </c>
      <c r="N102">
        <v>3030550.66</v>
      </c>
      <c r="O102">
        <v>2889357.3679999998</v>
      </c>
      <c r="P102">
        <v>3265422.4879999999</v>
      </c>
      <c r="Q102">
        <v>2848152.4679999999</v>
      </c>
    </row>
    <row r="103" spans="1:17" x14ac:dyDescent="0.35">
      <c r="A103" t="s">
        <v>164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  <c r="I103">
        <v>2971635.3360000001</v>
      </c>
      <c r="J103">
        <v>2864816.84</v>
      </c>
      <c r="K103">
        <v>2805210.1669999999</v>
      </c>
      <c r="L103">
        <v>2854193.9720000001</v>
      </c>
      <c r="M103">
        <v>2768992.02</v>
      </c>
      <c r="N103">
        <v>3030550.66</v>
      </c>
      <c r="O103">
        <v>2889357.3679999998</v>
      </c>
      <c r="P103">
        <v>3265422.4879999999</v>
      </c>
      <c r="Q103">
        <v>2848152.4679999999</v>
      </c>
    </row>
    <row r="104" spans="1:17" x14ac:dyDescent="0.35">
      <c r="A104" t="s">
        <v>165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  <c r="I104">
        <v>26643.683000000001</v>
      </c>
      <c r="J104">
        <v>28993.171409999999</v>
      </c>
      <c r="K104">
        <v>33595.262110000003</v>
      </c>
      <c r="L104">
        <v>52778.71387</v>
      </c>
      <c r="M104">
        <v>53771.796600000001</v>
      </c>
      <c r="N104">
        <v>41152.37947</v>
      </c>
      <c r="O104">
        <v>36090.079700000002</v>
      </c>
      <c r="P104">
        <v>36090.079700000002</v>
      </c>
      <c r="Q104">
        <v>35096.99697</v>
      </c>
    </row>
    <row r="105" spans="1:17" x14ac:dyDescent="0.35">
      <c r="A105" t="s">
        <v>261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  <c r="I105">
        <v>1376893.3152000001</v>
      </c>
      <c r="J105">
        <v>1352390.4953999999</v>
      </c>
      <c r="K105">
        <v>1341797.3584</v>
      </c>
      <c r="L105">
        <v>1599563.693</v>
      </c>
      <c r="M105">
        <v>1634874.1498</v>
      </c>
      <c r="N105">
        <v>1701964.0178</v>
      </c>
      <c r="O105">
        <v>1987978.7178</v>
      </c>
      <c r="P105">
        <v>2074577.4794999999</v>
      </c>
      <c r="Q105">
        <v>1930563.6581999999</v>
      </c>
    </row>
    <row r="106" spans="1:17" x14ac:dyDescent="0.35">
      <c r="A106" t="s">
        <v>166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  <c r="I106">
        <v>7003448.8024000004</v>
      </c>
      <c r="J106">
        <v>7096101.4324000003</v>
      </c>
      <c r="K106">
        <v>7924524.9483000003</v>
      </c>
      <c r="L106">
        <v>8115280.3631999996</v>
      </c>
      <c r="M106">
        <v>8796549.7019999996</v>
      </c>
      <c r="N106">
        <v>7929975.1030999999</v>
      </c>
      <c r="O106">
        <v>8747498.3094999995</v>
      </c>
      <c r="P106">
        <v>9058157.1280000005</v>
      </c>
      <c r="Q106">
        <v>8175232.0650000004</v>
      </c>
    </row>
    <row r="107" spans="1:17" x14ac:dyDescent="0.35">
      <c r="A107" t="s">
        <v>167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  <c r="I107">
        <v>7033201.4400000004</v>
      </c>
      <c r="J107">
        <v>7297547.2800000003</v>
      </c>
      <c r="K107">
        <v>6572833.5275999997</v>
      </c>
      <c r="L107">
        <v>6461899.6283999998</v>
      </c>
      <c r="M107">
        <v>6256677.5999999996</v>
      </c>
      <c r="N107">
        <v>6364838.25</v>
      </c>
      <c r="O107">
        <v>6961108.5</v>
      </c>
      <c r="P107">
        <v>6739240.5</v>
      </c>
      <c r="Q107">
        <v>6697640.25</v>
      </c>
    </row>
    <row r="108" spans="1:17" x14ac:dyDescent="0.35">
      <c r="A108" t="s">
        <v>169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  <c r="I108">
        <v>3274631.4767999998</v>
      </c>
      <c r="J108">
        <v>3298239.7976000002</v>
      </c>
      <c r="K108">
        <v>3315237.7884999998</v>
      </c>
      <c r="L108">
        <v>3274631.4767999998</v>
      </c>
      <c r="M108">
        <v>3260466.4844</v>
      </c>
      <c r="N108">
        <v>3241894.6053999998</v>
      </c>
      <c r="O108">
        <v>3323107.2288000002</v>
      </c>
      <c r="P108">
        <v>3270539.3679</v>
      </c>
      <c r="Q108">
        <v>2958909.534</v>
      </c>
    </row>
    <row r="109" spans="1:17" x14ac:dyDescent="0.35">
      <c r="A109" t="s">
        <v>168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  <c r="I109">
        <v>164142.46</v>
      </c>
      <c r="J109">
        <v>140594.29999999999</v>
      </c>
      <c r="K109">
        <v>104739.39</v>
      </c>
      <c r="L109">
        <v>149326.63368</v>
      </c>
      <c r="M109">
        <v>90619.199999999997</v>
      </c>
      <c r="N109">
        <v>70866</v>
      </c>
      <c r="O109">
        <v>55810</v>
      </c>
      <c r="P109">
        <v>99483.168900000004</v>
      </c>
      <c r="Q109">
        <v>50910.6</v>
      </c>
    </row>
    <row r="110" spans="1:17" x14ac:dyDescent="0.35">
      <c r="A110" t="s">
        <v>170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  <c r="I110">
        <v>30419947.157000002</v>
      </c>
      <c r="J110">
        <v>30930615.140999999</v>
      </c>
      <c r="K110">
        <v>32428854.870999999</v>
      </c>
      <c r="L110">
        <v>32205211.052999999</v>
      </c>
      <c r="M110">
        <v>31620355.123</v>
      </c>
      <c r="N110">
        <v>35526672.129000001</v>
      </c>
      <c r="O110">
        <v>36184542.372000001</v>
      </c>
      <c r="P110">
        <v>41829341.774999999</v>
      </c>
      <c r="Q110">
        <v>38178481.586000003</v>
      </c>
    </row>
    <row r="111" spans="1:17" x14ac:dyDescent="0.35">
      <c r="A111" t="s">
        <v>172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  <c r="I111">
        <v>10159210.529999999</v>
      </c>
      <c r="J111">
        <v>10707807.898</v>
      </c>
      <c r="K111">
        <v>9752842.1087999996</v>
      </c>
      <c r="L111">
        <v>11703410.529999999</v>
      </c>
      <c r="M111">
        <v>12800605.267000001</v>
      </c>
      <c r="N111">
        <v>12881878.952</v>
      </c>
      <c r="O111">
        <v>13477885.969000001</v>
      </c>
      <c r="P111">
        <v>14055187.005999999</v>
      </c>
      <c r="Q111">
        <v>12120161.26</v>
      </c>
    </row>
    <row r="112" spans="1:17" x14ac:dyDescent="0.35">
      <c r="A112" t="s">
        <v>175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  <c r="I112">
        <v>17943261.947000001</v>
      </c>
      <c r="J112">
        <v>18358601.827</v>
      </c>
      <c r="K112">
        <v>16695766.41</v>
      </c>
      <c r="L112">
        <v>16403646.675000001</v>
      </c>
      <c r="M112">
        <v>15601532.964</v>
      </c>
      <c r="N112">
        <v>14456672.272</v>
      </c>
      <c r="O112">
        <v>11467196.153000001</v>
      </c>
      <c r="P112">
        <v>11063229.057</v>
      </c>
      <c r="Q112">
        <v>10124160.24</v>
      </c>
    </row>
    <row r="113" spans="1:17" x14ac:dyDescent="0.35">
      <c r="A113" t="s">
        <v>171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  <c r="I113">
        <v>8384053.8737000003</v>
      </c>
      <c r="J113">
        <v>8881095.0537</v>
      </c>
      <c r="K113">
        <v>9456842.1420000009</v>
      </c>
      <c r="L113">
        <v>9371248.0098000001</v>
      </c>
      <c r="M113">
        <v>9460079.2541000005</v>
      </c>
      <c r="N113">
        <v>11020197.366</v>
      </c>
      <c r="O113">
        <v>10784719.363</v>
      </c>
      <c r="P113">
        <v>12901566.314999999</v>
      </c>
      <c r="Q113">
        <v>11792710.897</v>
      </c>
    </row>
    <row r="114" spans="1:17" x14ac:dyDescent="0.35">
      <c r="A114" t="s">
        <v>95</v>
      </c>
    </row>
    <row r="115" spans="1:17" x14ac:dyDescent="0.35">
      <c r="A115" t="s">
        <v>174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  <c r="I115">
        <v>4862642.4000000004</v>
      </c>
      <c r="J115">
        <v>4961880</v>
      </c>
      <c r="K115">
        <v>4573951.2</v>
      </c>
      <c r="L115">
        <v>4898728.8</v>
      </c>
      <c r="M115">
        <v>4700253.5999999996</v>
      </c>
      <c r="N115">
        <v>4745361.5999999996</v>
      </c>
      <c r="O115">
        <v>4447648.8</v>
      </c>
      <c r="P115">
        <v>4474713.5999999996</v>
      </c>
      <c r="Q115">
        <v>4149936</v>
      </c>
    </row>
    <row r="116" spans="1:17" x14ac:dyDescent="0.35">
      <c r="A116" t="s">
        <v>499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  <c r="I116">
        <v>4263146.1376</v>
      </c>
      <c r="J116">
        <v>4268138.1119999997</v>
      </c>
      <c r="K116">
        <v>3873772.1343999999</v>
      </c>
      <c r="L116">
        <v>4727399.7567999996</v>
      </c>
      <c r="M116">
        <v>4727399.7567999996</v>
      </c>
      <c r="N116">
        <v>5056870.0672000004</v>
      </c>
      <c r="O116">
        <v>5650915.0208000001</v>
      </c>
      <c r="P116">
        <v>4910546.7580000004</v>
      </c>
      <c r="Q116">
        <v>4435493.8639000002</v>
      </c>
    </row>
    <row r="117" spans="1:17" x14ac:dyDescent="0.35">
      <c r="A117" t="s">
        <v>177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  <c r="I117">
        <v>21220599.543000001</v>
      </c>
      <c r="J117">
        <v>18241242.316</v>
      </c>
      <c r="K117">
        <v>16577997.426000001</v>
      </c>
      <c r="L117">
        <v>20647007.245999999</v>
      </c>
      <c r="M117">
        <v>17750104.232999999</v>
      </c>
      <c r="N117">
        <v>15487399.175000001</v>
      </c>
      <c r="O117">
        <v>6981212.5437000003</v>
      </c>
      <c r="P117">
        <v>6171436.1409999998</v>
      </c>
      <c r="Q117">
        <v>6992711.8735999996</v>
      </c>
    </row>
    <row r="118" spans="1:17" x14ac:dyDescent="0.35">
      <c r="A118" t="s">
        <v>178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  <c r="I118">
        <v>359125.64867999998</v>
      </c>
      <c r="J118">
        <v>361328.88050999999</v>
      </c>
      <c r="K118">
        <v>346916.90237000003</v>
      </c>
      <c r="L118">
        <v>465301.00851999997</v>
      </c>
      <c r="M118">
        <v>483880.4301</v>
      </c>
      <c r="N118">
        <v>481821.36443999998</v>
      </c>
      <c r="O118">
        <v>473585.1018</v>
      </c>
      <c r="P118">
        <v>359352.76392</v>
      </c>
      <c r="Q118">
        <v>354675.14088000002</v>
      </c>
    </row>
    <row r="119" spans="1:17" x14ac:dyDescent="0.35">
      <c r="A119" t="s">
        <v>466</v>
      </c>
    </row>
    <row r="120" spans="1:17" x14ac:dyDescent="0.35">
      <c r="A120" t="s">
        <v>65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  <c r="I120">
        <v>4326017.9400000004</v>
      </c>
      <c r="J120">
        <v>4897375.2</v>
      </c>
      <c r="K120">
        <v>4829356.0999999996</v>
      </c>
      <c r="L120">
        <v>4774940.82</v>
      </c>
      <c r="M120">
        <v>4570883.5199999996</v>
      </c>
      <c r="N120">
        <v>5319093.62</v>
      </c>
      <c r="O120">
        <v>5183055.42</v>
      </c>
      <c r="P120">
        <v>5495943.2800000003</v>
      </c>
      <c r="Q120">
        <v>4992601.9400000004</v>
      </c>
    </row>
    <row r="121" spans="1:17" x14ac:dyDescent="0.35">
      <c r="A121" t="s">
        <v>179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  <c r="I121">
        <v>16047703.947000001</v>
      </c>
      <c r="J121">
        <v>17209595.421999998</v>
      </c>
      <c r="K121">
        <v>16481716.248</v>
      </c>
      <c r="L121">
        <v>15443697.252</v>
      </c>
      <c r="M121">
        <v>14386749.202</v>
      </c>
      <c r="N121">
        <v>16355195.75</v>
      </c>
      <c r="O121">
        <v>16962819.122000001</v>
      </c>
      <c r="P121">
        <v>15956758.037</v>
      </c>
      <c r="Q121">
        <v>14912384.742000001</v>
      </c>
    </row>
    <row r="122" spans="1:17" x14ac:dyDescent="0.35">
      <c r="A122" t="s">
        <v>180</v>
      </c>
      <c r="B122">
        <v>6166308.1968</v>
      </c>
      <c r="C122">
        <v>5366664.8881999999</v>
      </c>
      <c r="D122">
        <v>5071043.7467</v>
      </c>
      <c r="E122">
        <v>5113060.3103999998</v>
      </c>
      <c r="F122">
        <v>4873283.6098999996</v>
      </c>
      <c r="G122">
        <v>5172420.9183</v>
      </c>
      <c r="H122">
        <v>5707021.2392999995</v>
      </c>
      <c r="I122">
        <v>6233102.5888999999</v>
      </c>
      <c r="J122">
        <v>6535596.1341000004</v>
      </c>
      <c r="K122">
        <v>6258038.8596000001</v>
      </c>
      <c r="L122">
        <v>6686613.8635999998</v>
      </c>
      <c r="M122">
        <v>6911738.4835000001</v>
      </c>
      <c r="N122">
        <v>6909743.5818999996</v>
      </c>
      <c r="O122">
        <v>7398448.2412999999</v>
      </c>
      <c r="P122">
        <v>8103934.0297999997</v>
      </c>
      <c r="Q122">
        <v>7307020.8026000001</v>
      </c>
    </row>
    <row r="123" spans="1:17" x14ac:dyDescent="0.35">
      <c r="A123" t="s">
        <v>181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  <c r="I123">
        <v>4814835.648</v>
      </c>
      <c r="J123">
        <v>5222390.6294999998</v>
      </c>
      <c r="K123">
        <v>4796741.2364999996</v>
      </c>
      <c r="L123">
        <v>4063314.5901000001</v>
      </c>
      <c r="M123">
        <v>3856207.8558</v>
      </c>
      <c r="N123">
        <v>3915131.2355999998</v>
      </c>
      <c r="O123">
        <v>4265397.9933000002</v>
      </c>
      <c r="P123">
        <v>4038655.0674000001</v>
      </c>
      <c r="Q123">
        <v>3799739.4920999999</v>
      </c>
    </row>
    <row r="124" spans="1:17" x14ac:dyDescent="0.35">
      <c r="A124" t="s">
        <v>183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  <c r="I124">
        <v>4023396.2757999999</v>
      </c>
      <c r="J124">
        <v>3702572.1625999999</v>
      </c>
      <c r="K124">
        <v>3738583.0325000002</v>
      </c>
      <c r="L124">
        <v>3916182.0951</v>
      </c>
      <c r="M124">
        <v>4010301.4139999999</v>
      </c>
      <c r="N124">
        <v>4038127.9951999998</v>
      </c>
      <c r="O124">
        <v>4112605.0214999998</v>
      </c>
      <c r="P124">
        <v>4721883.9550999999</v>
      </c>
      <c r="Q124">
        <v>4383148.9781999998</v>
      </c>
    </row>
    <row r="125" spans="1:17" x14ac:dyDescent="0.35">
      <c r="A125" t="s">
        <v>184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  <c r="I125">
        <v>17623236.921999998</v>
      </c>
      <c r="J125">
        <v>17112011.015999999</v>
      </c>
      <c r="K125">
        <v>17048297.59</v>
      </c>
      <c r="L125">
        <v>17175626.929000001</v>
      </c>
      <c r="M125">
        <v>17969937.026999999</v>
      </c>
      <c r="N125">
        <v>18063813.004999999</v>
      </c>
      <c r="O125">
        <v>19675699.958999999</v>
      </c>
      <c r="P125">
        <v>19862845.204</v>
      </c>
      <c r="Q125">
        <v>19811923.941</v>
      </c>
    </row>
    <row r="126" spans="1:17" x14ac:dyDescent="0.35">
      <c r="A126" t="s">
        <v>67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  <c r="I126">
        <v>121669492.48999999</v>
      </c>
      <c r="J126">
        <v>120281549.69</v>
      </c>
      <c r="K126">
        <v>114273996.06999999</v>
      </c>
      <c r="L126">
        <v>123141757.3</v>
      </c>
      <c r="M126">
        <v>126450507.29000001</v>
      </c>
      <c r="N126">
        <v>127786707.94</v>
      </c>
      <c r="O126">
        <v>135228998.97999999</v>
      </c>
      <c r="P126">
        <v>153647972.44</v>
      </c>
      <c r="Q126">
        <v>132143159.5</v>
      </c>
    </row>
    <row r="127" spans="1:17" x14ac:dyDescent="0.35">
      <c r="A127" t="s">
        <v>185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  <c r="I127">
        <v>381486237.70999998</v>
      </c>
      <c r="J127">
        <v>376869417.20999998</v>
      </c>
      <c r="K127">
        <v>357359128.38999999</v>
      </c>
      <c r="L127">
        <v>392631901.18000001</v>
      </c>
      <c r="M127">
        <v>397243248.08999997</v>
      </c>
      <c r="N127">
        <v>401888007.74000001</v>
      </c>
      <c r="O127">
        <v>426725072.48000002</v>
      </c>
      <c r="P127">
        <v>481507192.66000003</v>
      </c>
      <c r="Q127">
        <v>416196818.52999997</v>
      </c>
    </row>
    <row r="128" spans="1:17" x14ac:dyDescent="0.35">
      <c r="A128" t="s">
        <v>186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  <c r="I128">
        <v>381486237.70999998</v>
      </c>
      <c r="J128">
        <v>376869417.20999998</v>
      </c>
      <c r="K128">
        <v>357359128.38999999</v>
      </c>
      <c r="L128">
        <v>392631901.18000001</v>
      </c>
      <c r="M128">
        <v>397243248.08999997</v>
      </c>
      <c r="N128">
        <v>401888007.74000001</v>
      </c>
      <c r="O128">
        <v>426725072.48000002</v>
      </c>
      <c r="P128">
        <v>481507192.66000003</v>
      </c>
      <c r="Q128">
        <v>416196818.52999997</v>
      </c>
    </row>
    <row r="129" spans="1:17" x14ac:dyDescent="0.35">
      <c r="A129" t="s">
        <v>187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  <c r="I129">
        <v>1236345.4224</v>
      </c>
      <c r="J129">
        <v>1160958.5064000001</v>
      </c>
      <c r="K129">
        <v>1022246.5808999999</v>
      </c>
      <c r="L129">
        <v>895596.56207999995</v>
      </c>
      <c r="M129">
        <v>826240.59935999999</v>
      </c>
      <c r="N129">
        <v>826240.59935999999</v>
      </c>
      <c r="O129">
        <v>883534.65552000003</v>
      </c>
      <c r="P129">
        <v>886550.13216000004</v>
      </c>
      <c r="Q129">
        <v>835287.02928000002</v>
      </c>
    </row>
    <row r="130" spans="1:17" x14ac:dyDescent="0.35">
      <c r="A130" t="s">
        <v>68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  <c r="I130">
        <v>88990828.763999999</v>
      </c>
      <c r="J130">
        <v>86573081.921000004</v>
      </c>
    </row>
    <row r="131" spans="1:17" x14ac:dyDescent="0.35">
      <c r="A131" t="s">
        <v>188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  <c r="I131">
        <v>3581183.0214</v>
      </c>
      <c r="J131">
        <v>3563447.7403000002</v>
      </c>
      <c r="K131">
        <v>3509962.5959999999</v>
      </c>
      <c r="L131">
        <v>3789911.736</v>
      </c>
      <c r="M131">
        <v>4310823.8618999999</v>
      </c>
      <c r="N131">
        <v>4390777.3184000002</v>
      </c>
      <c r="O131">
        <v>5089525.0932999998</v>
      </c>
      <c r="P131">
        <v>6386201.0898000002</v>
      </c>
      <c r="Q131">
        <v>5283590.9156999998</v>
      </c>
    </row>
    <row r="132" spans="1:17" x14ac:dyDescent="0.35">
      <c r="A132" t="s">
        <v>69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  <c r="I132">
        <v>1769080.6192999999</v>
      </c>
      <c r="J132">
        <v>1720810.0547</v>
      </c>
      <c r="K132">
        <v>1521708.0649000001</v>
      </c>
      <c r="L132">
        <v>1615570.4314999999</v>
      </c>
      <c r="M132">
        <v>1806139.4789</v>
      </c>
      <c r="N132">
        <v>1535929.6355999999</v>
      </c>
      <c r="O132">
        <v>1914223.4162000001</v>
      </c>
      <c r="P132">
        <v>2119114.8476999998</v>
      </c>
      <c r="Q132">
        <v>1726580.8222000001</v>
      </c>
    </row>
    <row r="133" spans="1:17" x14ac:dyDescent="0.35">
      <c r="A133" t="s">
        <v>189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  <c r="I133">
        <v>1406936.16</v>
      </c>
      <c r="J133">
        <v>1410922.48</v>
      </c>
      <c r="K133">
        <v>1218523.96</v>
      </c>
      <c r="L133">
        <v>1379722.72</v>
      </c>
      <c r="M133">
        <v>1268790.24</v>
      </c>
      <c r="N133">
        <v>1603321</v>
      </c>
      <c r="O133">
        <v>1686520.36</v>
      </c>
      <c r="P133">
        <v>1774919.6799999999</v>
      </c>
      <c r="Q133">
        <v>1705586.88</v>
      </c>
    </row>
    <row r="134" spans="1:17" x14ac:dyDescent="0.35">
      <c r="A134" t="s">
        <v>190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  <c r="I134">
        <v>22606021.658</v>
      </c>
      <c r="J134">
        <v>22550976.988000002</v>
      </c>
      <c r="K134">
        <v>22703208.083999999</v>
      </c>
      <c r="L134">
        <v>22506327.094000001</v>
      </c>
      <c r="M134">
        <v>21860802.611000001</v>
      </c>
      <c r="N134">
        <v>21853482.324999999</v>
      </c>
      <c r="O134">
        <v>21625863.837000001</v>
      </c>
      <c r="P134">
        <v>23621396.510000002</v>
      </c>
      <c r="Q134">
        <v>23183787.629999999</v>
      </c>
    </row>
    <row r="135" spans="1:17" x14ac:dyDescent="0.35">
      <c r="A135" t="s">
        <v>467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</row>
    <row r="136" spans="1:17" x14ac:dyDescent="0.35">
      <c r="A136" t="s">
        <v>191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  <c r="I136">
        <v>2267038.4832000001</v>
      </c>
      <c r="J136">
        <v>2435112.0258999998</v>
      </c>
      <c r="K136">
        <v>2411659.9037000001</v>
      </c>
      <c r="L136">
        <v>2523057.4843000001</v>
      </c>
      <c r="M136">
        <v>2915880.5318</v>
      </c>
      <c r="N136">
        <v>2921743.5624000002</v>
      </c>
      <c r="O136">
        <v>3201214.6858000001</v>
      </c>
      <c r="P136">
        <v>3496320.5573</v>
      </c>
      <c r="Q136">
        <v>3123040.9449999998</v>
      </c>
    </row>
    <row r="137" spans="1:17" x14ac:dyDescent="0.35">
      <c r="A137" t="s">
        <v>204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  <c r="I137">
        <v>4350801.9000000004</v>
      </c>
      <c r="J137">
        <v>4094633.19</v>
      </c>
      <c r="K137">
        <v>3864216.89</v>
      </c>
      <c r="L137">
        <v>3792381.22</v>
      </c>
      <c r="M137">
        <v>3701570.09</v>
      </c>
      <c r="N137">
        <v>4043128.37</v>
      </c>
      <c r="O137">
        <v>4491762.46</v>
      </c>
      <c r="P137">
        <v>4657120.04</v>
      </c>
      <c r="Q137">
        <v>4623235.29</v>
      </c>
    </row>
    <row r="138" spans="1:17" x14ac:dyDescent="0.35">
      <c r="A138" t="s">
        <v>468</v>
      </c>
    </row>
    <row r="139" spans="1:17" x14ac:dyDescent="0.35">
      <c r="A139" t="s">
        <v>229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  <c r="I139">
        <v>595920.96</v>
      </c>
      <c r="J139">
        <v>544191.71</v>
      </c>
      <c r="K139">
        <v>519361.67</v>
      </c>
      <c r="L139">
        <v>531776.68999999994</v>
      </c>
      <c r="M139">
        <v>469701.59</v>
      </c>
      <c r="N139">
        <v>434525.7</v>
      </c>
      <c r="O139">
        <v>465563.25</v>
      </c>
      <c r="P139">
        <v>523500.01</v>
      </c>
      <c r="Q139">
        <v>457286.57</v>
      </c>
    </row>
    <row r="140" spans="1:17" x14ac:dyDescent="0.35">
      <c r="A140" t="s">
        <v>70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  <c r="I140">
        <v>1839539.38</v>
      </c>
      <c r="J140">
        <v>1822629.05</v>
      </c>
      <c r="K140">
        <v>1805229.25</v>
      </c>
      <c r="L140">
        <v>1840028.85</v>
      </c>
      <c r="M140">
        <v>2044476.5</v>
      </c>
      <c r="N140">
        <v>2061876.3</v>
      </c>
      <c r="O140">
        <v>2224564.4300000002</v>
      </c>
      <c r="P140">
        <v>2432163.5</v>
      </c>
      <c r="Q140">
        <v>2115685</v>
      </c>
    </row>
    <row r="141" spans="1:17" x14ac:dyDescent="0.35">
      <c r="A141" t="s">
        <v>193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  <c r="I141">
        <v>2710541.0926999999</v>
      </c>
      <c r="J141">
        <v>2808141.7895999998</v>
      </c>
      <c r="K141">
        <v>2652192.85</v>
      </c>
      <c r="L141">
        <v>2546105.1359999999</v>
      </c>
      <c r="M141">
        <v>2874977.0493999999</v>
      </c>
      <c r="N141">
        <v>3500894.5619999999</v>
      </c>
      <c r="O141">
        <v>4137420.8459999999</v>
      </c>
      <c r="P141">
        <v>3447850.7050000001</v>
      </c>
      <c r="Q141">
        <v>3584703.8561</v>
      </c>
    </row>
    <row r="142" spans="1:17" x14ac:dyDescent="0.35">
      <c r="A142" t="s">
        <v>194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  <c r="I142">
        <v>240254</v>
      </c>
      <c r="J142">
        <v>219660.79999999999</v>
      </c>
      <c r="K142">
        <v>193576.08</v>
      </c>
      <c r="L142">
        <v>215542.16</v>
      </c>
      <c r="M142">
        <v>183965.92</v>
      </c>
      <c r="N142">
        <v>182593.04</v>
      </c>
      <c r="O142">
        <v>286931.92</v>
      </c>
      <c r="P142">
        <v>240254</v>
      </c>
      <c r="Q142">
        <v>238881.12</v>
      </c>
    </row>
    <row r="143" spans="1:17" x14ac:dyDescent="0.35">
      <c r="A143" t="s">
        <v>71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  <c r="I143">
        <v>18336787.600000001</v>
      </c>
      <c r="J143">
        <v>19690135.199999999</v>
      </c>
      <c r="K143">
        <v>16768631.4</v>
      </c>
      <c r="L143">
        <v>16268373.9</v>
      </c>
      <c r="M143">
        <v>14944914.710000001</v>
      </c>
      <c r="N143">
        <v>14658462.279999999</v>
      </c>
      <c r="O143">
        <v>15557330.25</v>
      </c>
      <c r="P143">
        <v>14664231.07</v>
      </c>
      <c r="Q143">
        <v>13210576.550000001</v>
      </c>
    </row>
    <row r="144" spans="1:17" x14ac:dyDescent="0.35">
      <c r="A144" t="s">
        <v>495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  <c r="I144">
        <v>215767.4</v>
      </c>
      <c r="J144">
        <v>224017.33</v>
      </c>
      <c r="K144">
        <v>222113.5</v>
      </c>
      <c r="L144">
        <v>236074.92</v>
      </c>
      <c r="M144">
        <v>229728.82</v>
      </c>
      <c r="N144">
        <v>208786.69</v>
      </c>
      <c r="O144">
        <v>188479.17</v>
      </c>
      <c r="P144">
        <v>173248.53</v>
      </c>
      <c r="Q144">
        <v>166902.43</v>
      </c>
    </row>
    <row r="145" spans="1:17" x14ac:dyDescent="0.35">
      <c r="A145" t="s">
        <v>195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  <c r="I145">
        <v>2067181.7150000001</v>
      </c>
      <c r="J145">
        <v>2166252.2810999998</v>
      </c>
      <c r="K145">
        <v>2089473.7191999999</v>
      </c>
      <c r="L145">
        <v>2259483.3919000002</v>
      </c>
      <c r="M145">
        <v>2523432.8675000002</v>
      </c>
      <c r="N145">
        <v>2154284.3912</v>
      </c>
      <c r="O145">
        <v>2567510.2974999999</v>
      </c>
      <c r="P145">
        <v>2691611.5850999998</v>
      </c>
      <c r="Q145">
        <v>2344839.5403999998</v>
      </c>
    </row>
    <row r="146" spans="1:17" x14ac:dyDescent="0.35">
      <c r="A146" t="s">
        <v>200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  <c r="I146">
        <v>1602622.5585</v>
      </c>
      <c r="J146">
        <v>1583061.7327000001</v>
      </c>
      <c r="K146">
        <v>1482229.7753000001</v>
      </c>
      <c r="L146">
        <v>1512479.3625</v>
      </c>
      <c r="M146">
        <v>1528557.3247</v>
      </c>
      <c r="N146">
        <v>1418661.0464999999</v>
      </c>
      <c r="O146">
        <v>1598491.32</v>
      </c>
      <c r="P146">
        <v>1926333.2649999999</v>
      </c>
      <c r="Q146">
        <v>1746984.9955</v>
      </c>
    </row>
    <row r="147" spans="1:17" x14ac:dyDescent="0.35">
      <c r="A147" t="s">
        <v>196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  <c r="I147">
        <v>7971691.0210999995</v>
      </c>
      <c r="J147">
        <v>8049198.0719999997</v>
      </c>
      <c r="K147">
        <v>8297381.6792000001</v>
      </c>
      <c r="L147">
        <v>9950821.1164999995</v>
      </c>
      <c r="M147">
        <v>9638914.6911999993</v>
      </c>
      <c r="N147">
        <v>9833436.9780000001</v>
      </c>
      <c r="O147">
        <v>8646180.2622999996</v>
      </c>
      <c r="P147">
        <v>8327566.1720000003</v>
      </c>
      <c r="Q147">
        <v>8035782.7418999998</v>
      </c>
    </row>
    <row r="148" spans="1:17" x14ac:dyDescent="0.35">
      <c r="A148" t="s">
        <v>209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  <c r="I148">
        <v>1731583.3358</v>
      </c>
      <c r="J148">
        <v>1951290.9186</v>
      </c>
      <c r="K148">
        <v>1864134.3858</v>
      </c>
      <c r="L148">
        <v>2192452.1985999998</v>
      </c>
      <c r="M148">
        <v>2531568.9805000001</v>
      </c>
      <c r="N148">
        <v>2338719.7563999998</v>
      </c>
      <c r="O148">
        <v>2491814.9737999998</v>
      </c>
      <c r="P148">
        <v>2966261.3829999999</v>
      </c>
      <c r="Q148">
        <v>1967387.9834</v>
      </c>
    </row>
    <row r="149" spans="1:17" x14ac:dyDescent="0.35">
      <c r="A149" t="s">
        <v>73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  <c r="I149">
        <v>696568.00763000001</v>
      </c>
      <c r="J149">
        <v>692554.39434999996</v>
      </c>
      <c r="K149">
        <v>678168.9915</v>
      </c>
      <c r="L149">
        <v>776811.75390000001</v>
      </c>
      <c r="M149">
        <v>859061.27735999995</v>
      </c>
      <c r="N149">
        <v>807682.01436000003</v>
      </c>
      <c r="O149">
        <v>795350.99124</v>
      </c>
      <c r="P149">
        <v>820013.03748000006</v>
      </c>
      <c r="Q149">
        <v>780964.79760000005</v>
      </c>
    </row>
    <row r="150" spans="1:17" x14ac:dyDescent="0.35">
      <c r="A150" t="s">
        <v>202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  <c r="I150">
        <v>389452.5</v>
      </c>
      <c r="M150">
        <v>504238.5</v>
      </c>
      <c r="N150">
        <v>512437.5</v>
      </c>
      <c r="O150">
        <v>584287.74</v>
      </c>
      <c r="P150">
        <v>606726</v>
      </c>
      <c r="Q150">
        <v>512437.5</v>
      </c>
    </row>
    <row r="151" spans="1:17" x14ac:dyDescent="0.35">
      <c r="A151" t="s">
        <v>197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  <c r="I151">
        <v>30130.534520000001</v>
      </c>
      <c r="J151">
        <v>23422.008600000001</v>
      </c>
      <c r="K151">
        <v>23132.848000000002</v>
      </c>
      <c r="L151">
        <v>29436.549080000001</v>
      </c>
      <c r="M151">
        <v>34641.439879999998</v>
      </c>
      <c r="N151">
        <v>37533.045879999998</v>
      </c>
      <c r="O151">
        <v>34641.439879999998</v>
      </c>
      <c r="P151">
        <v>39730.666440000001</v>
      </c>
      <c r="Q151">
        <v>34699.271999999997</v>
      </c>
    </row>
    <row r="152" spans="1:17" x14ac:dyDescent="0.35">
      <c r="A152" t="s">
        <v>72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  <c r="I152">
        <v>6791956.6106000002</v>
      </c>
      <c r="J152">
        <v>7263989.3331000004</v>
      </c>
      <c r="K152">
        <v>5412962.6096000001</v>
      </c>
      <c r="L152">
        <v>6039804.3287000004</v>
      </c>
      <c r="M152">
        <v>7081872.7775999997</v>
      </c>
      <c r="N152">
        <v>6248277.3361</v>
      </c>
      <c r="O152">
        <v>7583505.4326999998</v>
      </c>
      <c r="P152">
        <v>7583349.2822000002</v>
      </c>
      <c r="Q152">
        <v>6924937.9552999996</v>
      </c>
    </row>
    <row r="153" spans="1:17" x14ac:dyDescent="0.35">
      <c r="A153" t="s">
        <v>205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  <c r="I153">
        <v>2404533.56</v>
      </c>
      <c r="J153">
        <v>2504758.75</v>
      </c>
      <c r="K153">
        <v>2572761.25</v>
      </c>
      <c r="L153">
        <v>2840237.75</v>
      </c>
      <c r="M153">
        <v>2695165.75</v>
      </c>
      <c r="N153">
        <v>2958108.75</v>
      </c>
      <c r="O153">
        <v>3060112.5</v>
      </c>
      <c r="P153">
        <v>3513478</v>
      </c>
      <c r="Q153">
        <v>3173464</v>
      </c>
    </row>
    <row r="154" spans="1:17" x14ac:dyDescent="0.35">
      <c r="A154" t="s">
        <v>210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  <c r="I154">
        <v>839709.24959999998</v>
      </c>
      <c r="J154">
        <v>872008.98840000003</v>
      </c>
      <c r="K154">
        <v>823564.04460000002</v>
      </c>
      <c r="L154">
        <v>839712.35919999995</v>
      </c>
      <c r="M154">
        <v>847786.51650000003</v>
      </c>
      <c r="N154">
        <v>960824.71869999997</v>
      </c>
      <c r="O154">
        <v>1090011.2355</v>
      </c>
      <c r="P154">
        <v>1146530.3366</v>
      </c>
      <c r="Q154">
        <v>1098085.3928</v>
      </c>
    </row>
    <row r="155" spans="1:17" x14ac:dyDescent="0.35">
      <c r="A155" t="s">
        <v>74</v>
      </c>
      <c r="B155">
        <v>2147229.3420000002</v>
      </c>
      <c r="C155">
        <v>1878825.6742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  <c r="I155">
        <v>2418123.6886999998</v>
      </c>
      <c r="J155">
        <v>2404540.5197000001</v>
      </c>
      <c r="K155">
        <v>2181580.2718000002</v>
      </c>
      <c r="L155">
        <v>2431981.7809000001</v>
      </c>
      <c r="M155">
        <v>3045645.2634000001</v>
      </c>
      <c r="N155">
        <v>2783910.1235000002</v>
      </c>
      <c r="O155">
        <v>3987211.9352000002</v>
      </c>
      <c r="P155">
        <v>4222489.2867000001</v>
      </c>
      <c r="Q155">
        <v>3310160.2762000002</v>
      </c>
    </row>
    <row r="156" spans="1:17" x14ac:dyDescent="0.35">
      <c r="A156" t="s">
        <v>75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  <c r="I156">
        <v>2977349.54</v>
      </c>
      <c r="J156">
        <v>3585201.62</v>
      </c>
      <c r="K156">
        <v>3405097.3</v>
      </c>
      <c r="L156">
        <v>4271849.34</v>
      </c>
      <c r="M156">
        <v>4193053.7</v>
      </c>
      <c r="N156">
        <v>4254964.5599999996</v>
      </c>
      <c r="O156">
        <v>5234281.8</v>
      </c>
      <c r="P156">
        <v>4542005.82</v>
      </c>
      <c r="Q156">
        <v>4384414.54</v>
      </c>
    </row>
    <row r="157" spans="1:17" x14ac:dyDescent="0.35">
      <c r="A157" t="s">
        <v>207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  <c r="I157">
        <v>426272.5246</v>
      </c>
      <c r="J157">
        <v>428388.02100000001</v>
      </c>
      <c r="K157">
        <v>395597.82679999998</v>
      </c>
      <c r="L157">
        <v>385020.34480000002</v>
      </c>
      <c r="M157">
        <v>410406.30160000001</v>
      </c>
      <c r="N157">
        <v>387135.84120000002</v>
      </c>
      <c r="O157">
        <v>391366.83399999997</v>
      </c>
      <c r="P157">
        <v>418868.28720000002</v>
      </c>
      <c r="Q157">
        <v>393482.33039999998</v>
      </c>
    </row>
    <row r="158" spans="1:17" x14ac:dyDescent="0.35">
      <c r="A158" t="s">
        <v>211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  <c r="I158">
        <v>13132172.981000001</v>
      </c>
      <c r="J158">
        <v>13293393.855</v>
      </c>
      <c r="K158">
        <v>12433549.195</v>
      </c>
      <c r="L158">
        <v>13606064.640000001</v>
      </c>
      <c r="M158">
        <v>14208560.089</v>
      </c>
      <c r="N158">
        <v>13431682.147</v>
      </c>
      <c r="O158">
        <v>14736250.766000001</v>
      </c>
      <c r="P158">
        <v>16118486.290999999</v>
      </c>
      <c r="Q158">
        <v>13334206.175000001</v>
      </c>
    </row>
    <row r="159" spans="1:17" x14ac:dyDescent="0.35">
      <c r="A159" t="s">
        <v>66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  <c r="I159">
        <v>1819705.5</v>
      </c>
      <c r="J159">
        <v>1999429.5</v>
      </c>
      <c r="K159">
        <v>2176158.1</v>
      </c>
      <c r="L159">
        <v>2104268.5</v>
      </c>
      <c r="M159">
        <v>1785258.4</v>
      </c>
      <c r="N159">
        <v>1639981.5</v>
      </c>
      <c r="O159">
        <v>1542631</v>
      </c>
      <c r="P159">
        <v>1650465.4</v>
      </c>
      <c r="Q159">
        <v>1511179.3</v>
      </c>
    </row>
    <row r="160" spans="1:17" x14ac:dyDescent="0.35">
      <c r="A160" t="s">
        <v>76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  <c r="I160">
        <v>30405621.061999999</v>
      </c>
      <c r="J160">
        <v>31024657.659000002</v>
      </c>
      <c r="K160">
        <v>30235689.447999999</v>
      </c>
      <c r="L160">
        <v>33185216.760000002</v>
      </c>
      <c r="M160">
        <v>34835981.017999999</v>
      </c>
      <c r="N160">
        <v>35418603.696999997</v>
      </c>
      <c r="O160">
        <v>39193513.137999997</v>
      </c>
      <c r="P160">
        <v>39327030.835000001</v>
      </c>
      <c r="Q160">
        <v>38218754.890000001</v>
      </c>
    </row>
    <row r="161" spans="1:17" x14ac:dyDescent="0.35">
      <c r="A161" t="s">
        <v>458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  <c r="I161">
        <v>14496154.74</v>
      </c>
      <c r="J161">
        <v>15188860.397</v>
      </c>
      <c r="K161">
        <v>12577201.142999999</v>
      </c>
      <c r="L161">
        <v>12384763.093</v>
      </c>
      <c r="M161">
        <v>12844880.4</v>
      </c>
      <c r="N161">
        <v>12377793.84</v>
      </c>
      <c r="O161">
        <v>11388669.359999999</v>
      </c>
      <c r="P161">
        <v>12048085.68</v>
      </c>
      <c r="Q161">
        <v>10234690.800000001</v>
      </c>
    </row>
    <row r="162" spans="1:17" x14ac:dyDescent="0.35">
      <c r="A162" t="s">
        <v>213</v>
      </c>
      <c r="B162">
        <v>1188264.0926000001</v>
      </c>
      <c r="C162">
        <v>1107612.6836000001</v>
      </c>
      <c r="D162">
        <v>920403.17610000004</v>
      </c>
      <c r="E162">
        <v>968354.58406000002</v>
      </c>
      <c r="F162">
        <v>957063.38679999998</v>
      </c>
      <c r="G162">
        <v>1199017.6137999999</v>
      </c>
      <c r="H162">
        <v>1204394.3744000001</v>
      </c>
      <c r="I162">
        <v>1322683.1076</v>
      </c>
      <c r="J162">
        <v>1297412.3328</v>
      </c>
      <c r="K162">
        <v>1165681.6980999999</v>
      </c>
      <c r="L162">
        <v>1158691.9092999999</v>
      </c>
      <c r="M162">
        <v>1196329.2335000001</v>
      </c>
      <c r="N162">
        <v>1171596.1347000001</v>
      </c>
      <c r="O162">
        <v>1256548.9521999999</v>
      </c>
      <c r="P162">
        <v>1319457.0512000001</v>
      </c>
      <c r="Q162">
        <v>1236654.9380000001</v>
      </c>
    </row>
    <row r="163" spans="1:17" x14ac:dyDescent="0.35">
      <c r="A163" t="s">
        <v>217</v>
      </c>
      <c r="B163">
        <v>277627.37</v>
      </c>
      <c r="C163">
        <v>531783.2524</v>
      </c>
      <c r="D163">
        <v>445665.95</v>
      </c>
      <c r="E163">
        <v>538374.56000000006</v>
      </c>
      <c r="F163">
        <v>376854.86</v>
      </c>
      <c r="G163">
        <v>332486.94</v>
      </c>
      <c r="H163">
        <v>194792.9</v>
      </c>
      <c r="I163">
        <v>215974.35</v>
      </c>
      <c r="J163">
        <v>220177.56</v>
      </c>
      <c r="K163">
        <v>179358.07</v>
      </c>
      <c r="L163">
        <v>182127</v>
      </c>
      <c r="M163">
        <v>180786.26</v>
      </c>
      <c r="N163">
        <v>100908.95</v>
      </c>
      <c r="O163">
        <v>90803.22</v>
      </c>
      <c r="P163">
        <v>59755.98</v>
      </c>
      <c r="Q163">
        <v>57953.63</v>
      </c>
    </row>
    <row r="164" spans="1:17" x14ac:dyDescent="0.35">
      <c r="A164" t="s">
        <v>214</v>
      </c>
      <c r="B164">
        <v>2910846.3325999998</v>
      </c>
      <c r="C164">
        <v>1379488.0445999999</v>
      </c>
      <c r="D164">
        <v>1480734.8735</v>
      </c>
      <c r="E164">
        <v>1360504.2642000001</v>
      </c>
      <c r="F164">
        <v>3556294.8672000002</v>
      </c>
      <c r="G164">
        <v>3841215.4637000002</v>
      </c>
      <c r="H164">
        <v>3828559.0701000001</v>
      </c>
      <c r="I164">
        <v>3189411.1921999999</v>
      </c>
      <c r="J164">
        <v>3250214.0691999998</v>
      </c>
      <c r="K164">
        <v>3611348.9657999999</v>
      </c>
      <c r="L164">
        <v>1736716.4343000001</v>
      </c>
      <c r="M164">
        <v>2135517.9859000002</v>
      </c>
      <c r="N164">
        <v>1435269.7420999999</v>
      </c>
      <c r="O164">
        <v>2084590.2683999999</v>
      </c>
      <c r="P164">
        <v>2661321.6905999999</v>
      </c>
      <c r="Q164">
        <v>3030328.4796000002</v>
      </c>
    </row>
    <row r="165" spans="1:17" x14ac:dyDescent="0.35">
      <c r="A165" t="s">
        <v>215</v>
      </c>
      <c r="B165">
        <v>1244860.3663999999</v>
      </c>
      <c r="C165">
        <v>1094208.4750000001</v>
      </c>
      <c r="D165">
        <v>1048773.8855999999</v>
      </c>
      <c r="E165">
        <v>1116180.9028</v>
      </c>
      <c r="F165">
        <v>1092390.1908</v>
      </c>
      <c r="G165">
        <v>1120682.8844999999</v>
      </c>
      <c r="H165">
        <v>1075062.1653</v>
      </c>
      <c r="I165">
        <v>1156386.0560000001</v>
      </c>
      <c r="J165">
        <v>1349060.7923999999</v>
      </c>
      <c r="K165">
        <v>1253832.9717999999</v>
      </c>
      <c r="L165">
        <v>1349060.7923999999</v>
      </c>
      <c r="M165">
        <v>1528989.0815999999</v>
      </c>
      <c r="N165">
        <v>1513041.3467000001</v>
      </c>
      <c r="O165">
        <v>1493106.6780999999</v>
      </c>
      <c r="P165">
        <v>1877852.0652999999</v>
      </c>
      <c r="Q165">
        <v>1684485.1328</v>
      </c>
    </row>
    <row r="166" spans="1:17" x14ac:dyDescent="0.35">
      <c r="A166" t="s">
        <v>212</v>
      </c>
      <c r="B166">
        <v>3846437.87</v>
      </c>
      <c r="C166">
        <v>3459886.21</v>
      </c>
      <c r="D166">
        <v>3139695.35</v>
      </c>
      <c r="E166">
        <v>3418410.71</v>
      </c>
      <c r="F166">
        <v>3452420.62</v>
      </c>
      <c r="G166">
        <v>3508827.3</v>
      </c>
      <c r="H166">
        <v>4067917.04</v>
      </c>
      <c r="I166">
        <v>4989951.6355999997</v>
      </c>
      <c r="J166">
        <v>5178361.49</v>
      </c>
      <c r="K166">
        <v>4635243.9400000004</v>
      </c>
      <c r="L166">
        <v>5282178.6500000004</v>
      </c>
      <c r="M166">
        <v>5359080.25</v>
      </c>
      <c r="N166">
        <v>5331203.42</v>
      </c>
      <c r="O166">
        <v>6176159.75</v>
      </c>
      <c r="P166">
        <v>7155693.8799999999</v>
      </c>
      <c r="Q166">
        <v>6721199.8399999999</v>
      </c>
    </row>
    <row r="167" spans="1:17" x14ac:dyDescent="0.35">
      <c r="A167" t="s">
        <v>216</v>
      </c>
    </row>
    <row r="168" spans="1:17" x14ac:dyDescent="0.35">
      <c r="A168" t="s">
        <v>469</v>
      </c>
    </row>
    <row r="169" spans="1:17" x14ac:dyDescent="0.35">
      <c r="A169" t="s">
        <v>132</v>
      </c>
      <c r="B169">
        <v>1470051</v>
      </c>
      <c r="C169">
        <v>1293644.8799999999</v>
      </c>
      <c r="D169">
        <v>1249596.8999999999</v>
      </c>
      <c r="E169">
        <v>1347604.5</v>
      </c>
      <c r="F169">
        <v>1239796.1399999999</v>
      </c>
      <c r="G169">
        <v>1514489.34</v>
      </c>
      <c r="H169">
        <v>2073232.98</v>
      </c>
      <c r="I169">
        <v>1475279.26</v>
      </c>
      <c r="J169">
        <v>1509588.08</v>
      </c>
      <c r="K169">
        <v>1788959.9</v>
      </c>
      <c r="L169">
        <v>1759552.34</v>
      </c>
      <c r="M169">
        <v>1951123.36</v>
      </c>
      <c r="N169">
        <v>1843272.32</v>
      </c>
      <c r="O169">
        <v>2000146.56</v>
      </c>
      <c r="P169">
        <v>1884046.08</v>
      </c>
      <c r="Q169">
        <v>1864420.6</v>
      </c>
    </row>
    <row r="170" spans="1:17" x14ac:dyDescent="0.35">
      <c r="A170" t="s">
        <v>77</v>
      </c>
      <c r="B170">
        <v>486277422.30000001</v>
      </c>
      <c r="C170">
        <v>529056805.13999999</v>
      </c>
      <c r="D170">
        <v>490407223.67000002</v>
      </c>
      <c r="E170">
        <v>511529798.82999998</v>
      </c>
      <c r="F170">
        <v>486311930.00999999</v>
      </c>
      <c r="G170">
        <v>506183876.25999999</v>
      </c>
      <c r="H170">
        <v>401864092.14999998</v>
      </c>
      <c r="I170">
        <v>413220727.38999999</v>
      </c>
      <c r="J170">
        <v>424616881.08999997</v>
      </c>
      <c r="K170">
        <v>446327757.63</v>
      </c>
      <c r="L170">
        <v>420561502.02999997</v>
      </c>
      <c r="M170">
        <v>422745509.47000003</v>
      </c>
      <c r="N170">
        <v>396538126.87</v>
      </c>
      <c r="O170">
        <v>421565962.37</v>
      </c>
      <c r="P170">
        <v>506251617.58999997</v>
      </c>
      <c r="Q170">
        <v>410254648.61000001</v>
      </c>
    </row>
    <row r="171" spans="1:17" x14ac:dyDescent="0.35">
      <c r="A171" t="s">
        <v>219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  <c r="I171">
        <v>413220727.38999999</v>
      </c>
      <c r="J171">
        <v>424616881.08999997</v>
      </c>
      <c r="K171">
        <v>446327757.63</v>
      </c>
      <c r="L171">
        <v>420561502.02999997</v>
      </c>
      <c r="M171">
        <v>422745509.47000003</v>
      </c>
      <c r="N171">
        <v>396538126.87</v>
      </c>
      <c r="O171">
        <v>421565962.37</v>
      </c>
      <c r="P171">
        <v>506251617.58999997</v>
      </c>
      <c r="Q171">
        <v>410254648.61000001</v>
      </c>
    </row>
    <row r="172" spans="1:17" x14ac:dyDescent="0.35">
      <c r="A172" t="s">
        <v>78</v>
      </c>
      <c r="B172">
        <v>2227562.0257999999</v>
      </c>
      <c r="C172">
        <v>1938970.9941</v>
      </c>
      <c r="D172">
        <v>1835258.5921</v>
      </c>
      <c r="E172">
        <v>2191488.1468000002</v>
      </c>
      <c r="F172">
        <v>1803693.9480000001</v>
      </c>
      <c r="G172">
        <v>1836139.4336999999</v>
      </c>
      <c r="H172">
        <v>2097800.5814999999</v>
      </c>
      <c r="I172">
        <v>1948924.4112</v>
      </c>
      <c r="J172">
        <v>1763957.0481</v>
      </c>
      <c r="K172">
        <v>1809071.0390999999</v>
      </c>
      <c r="L172">
        <v>1813582.4382</v>
      </c>
      <c r="M172">
        <v>1709820.2589</v>
      </c>
      <c r="N172">
        <v>1678240.4652</v>
      </c>
      <c r="O172">
        <v>2007572.5995</v>
      </c>
      <c r="P172">
        <v>3029994.2146999999</v>
      </c>
      <c r="Q172">
        <v>1957947.2094000001</v>
      </c>
    </row>
    <row r="173" spans="1:17" x14ac:dyDescent="0.35">
      <c r="A173" t="s">
        <v>497</v>
      </c>
      <c r="B173">
        <v>858277</v>
      </c>
      <c r="C173">
        <v>845431.37818</v>
      </c>
      <c r="D173">
        <v>760745.26810999995</v>
      </c>
      <c r="E173">
        <v>795745.39</v>
      </c>
      <c r="F173">
        <v>827624.25</v>
      </c>
      <c r="G173">
        <v>893834.19</v>
      </c>
      <c r="H173">
        <v>991922.99</v>
      </c>
      <c r="I173">
        <v>1069167.92</v>
      </c>
      <c r="J173">
        <v>1096142.3400000001</v>
      </c>
      <c r="K173">
        <v>931843.6</v>
      </c>
      <c r="L173">
        <v>1086333.46</v>
      </c>
      <c r="M173">
        <v>969853.01</v>
      </c>
      <c r="N173">
        <v>1029932.4</v>
      </c>
      <c r="O173">
        <v>982957.91035000002</v>
      </c>
      <c r="P173">
        <v>1125568.98</v>
      </c>
      <c r="Q173">
        <v>1080438.2941999999</v>
      </c>
    </row>
    <row r="174" spans="1:17" x14ac:dyDescent="0.35">
      <c r="A174" t="s">
        <v>227</v>
      </c>
      <c r="B174">
        <v>1649845.4161</v>
      </c>
      <c r="C174">
        <v>1960269.2923000001</v>
      </c>
      <c r="D174">
        <v>1816554.5348</v>
      </c>
      <c r="E174">
        <v>1850868.6654000001</v>
      </c>
      <c r="F174">
        <v>1641336.3637000001</v>
      </c>
      <c r="G174">
        <v>1948396.1207000001</v>
      </c>
      <c r="H174">
        <v>2041176.8883</v>
      </c>
      <c r="I174">
        <v>2152513.8095</v>
      </c>
      <c r="J174">
        <v>2138718.1521999999</v>
      </c>
      <c r="K174">
        <v>2262701.8133</v>
      </c>
      <c r="L174">
        <v>2244104.2640999998</v>
      </c>
      <c r="M174">
        <v>2376018.2592000002</v>
      </c>
      <c r="N174">
        <v>2574019.7807999998</v>
      </c>
      <c r="O174">
        <v>3887429.8741000001</v>
      </c>
      <c r="P174">
        <v>4327029.0573000005</v>
      </c>
      <c r="Q174">
        <v>4017013.2559000002</v>
      </c>
    </row>
    <row r="175" spans="1:17" x14ac:dyDescent="0.35">
      <c r="A175" t="s">
        <v>218</v>
      </c>
      <c r="B175">
        <v>2803773.1</v>
      </c>
      <c r="C175">
        <v>2456279.9750000001</v>
      </c>
      <c r="D175">
        <v>1823037.2649999999</v>
      </c>
      <c r="E175">
        <v>1972140.64</v>
      </c>
      <c r="F175">
        <v>1974128.6850000001</v>
      </c>
      <c r="G175">
        <v>2343403.44</v>
      </c>
      <c r="H175">
        <v>2327461.92</v>
      </c>
      <c r="I175">
        <v>2921283.54</v>
      </c>
      <c r="J175">
        <v>3185683.5460000001</v>
      </c>
      <c r="K175">
        <v>2629710.7488000002</v>
      </c>
      <c r="L175">
        <v>2936104.5166000002</v>
      </c>
      <c r="M175">
        <v>3463669.9446</v>
      </c>
      <c r="N175">
        <v>2964511.8857999998</v>
      </c>
      <c r="O175">
        <v>3234381.8931999998</v>
      </c>
      <c r="P175">
        <v>3065966.7757999999</v>
      </c>
      <c r="Q175">
        <v>2779863.986</v>
      </c>
    </row>
    <row r="176" spans="1:17" x14ac:dyDescent="0.35">
      <c r="A176" t="s">
        <v>222</v>
      </c>
      <c r="B176">
        <v>1512995.4966</v>
      </c>
      <c r="C176">
        <v>1412925.7056</v>
      </c>
      <c r="D176">
        <v>1309383.7768000001</v>
      </c>
      <c r="E176">
        <v>1266233.6296000001</v>
      </c>
      <c r="F176">
        <v>1220107.6102</v>
      </c>
      <c r="G176">
        <v>1288876.3565</v>
      </c>
      <c r="H176">
        <v>1367847.9715</v>
      </c>
      <c r="I176">
        <v>1296326.5089</v>
      </c>
      <c r="J176">
        <v>1417933.2825</v>
      </c>
      <c r="K176">
        <v>1361215.9512</v>
      </c>
      <c r="L176">
        <v>1529875.3838</v>
      </c>
      <c r="M176">
        <v>1458241.0366</v>
      </c>
      <c r="N176">
        <v>1401523.3707999999</v>
      </c>
      <c r="O176">
        <v>1522421.5530000001</v>
      </c>
      <c r="P176">
        <v>1967097.4564</v>
      </c>
      <c r="Q176">
        <v>1782728.5338999999</v>
      </c>
    </row>
    <row r="177" spans="1:17" x14ac:dyDescent="0.35">
      <c r="A177" t="s">
        <v>149</v>
      </c>
      <c r="B177">
        <v>8776153.2240999993</v>
      </c>
      <c r="C177">
        <v>8804220.6166999992</v>
      </c>
      <c r="D177">
        <v>7592934.2572999997</v>
      </c>
      <c r="E177">
        <v>8496742.5206000004</v>
      </c>
      <c r="F177">
        <v>7620644.9874999998</v>
      </c>
      <c r="G177">
        <v>6417801.4164000005</v>
      </c>
      <c r="H177">
        <v>7286592.2111</v>
      </c>
      <c r="I177">
        <v>7592960.8616000004</v>
      </c>
      <c r="J177">
        <v>8372809.9226000002</v>
      </c>
      <c r="K177">
        <v>8665806.0934999995</v>
      </c>
      <c r="L177">
        <v>9681168.8851999994</v>
      </c>
      <c r="M177">
        <v>9472936.1992000006</v>
      </c>
      <c r="N177">
        <v>8458073.5518999994</v>
      </c>
      <c r="O177">
        <v>7123357.3699000003</v>
      </c>
      <c r="P177">
        <v>7798892.3662999999</v>
      </c>
      <c r="Q177">
        <v>7302616.3476999998</v>
      </c>
    </row>
    <row r="178" spans="1:17" x14ac:dyDescent="0.35">
      <c r="A178" t="s">
        <v>198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  <c r="I178">
        <v>7592960.8616000004</v>
      </c>
      <c r="J178">
        <v>8372809.9226000002</v>
      </c>
      <c r="K178">
        <v>8665806.0934999995</v>
      </c>
      <c r="L178">
        <v>9681168.8851999994</v>
      </c>
      <c r="M178">
        <v>9472936.1992000006</v>
      </c>
      <c r="N178">
        <v>8458073.5518999994</v>
      </c>
      <c r="O178">
        <v>7123357.3699000003</v>
      </c>
      <c r="P178">
        <v>7798892.3662999999</v>
      </c>
      <c r="Q178">
        <v>7302616.3476999998</v>
      </c>
    </row>
    <row r="179" spans="1:17" x14ac:dyDescent="0.35">
      <c r="A179" t="s">
        <v>199</v>
      </c>
      <c r="B179">
        <v>6997716.0609999998</v>
      </c>
      <c r="C179">
        <v>6954221.483</v>
      </c>
      <c r="D179">
        <v>7192349.5489999996</v>
      </c>
      <c r="E179">
        <v>7492214.5209999997</v>
      </c>
      <c r="F179">
        <v>7302594.0240000002</v>
      </c>
      <c r="G179">
        <v>7509853.6370000001</v>
      </c>
      <c r="H179">
        <v>7553951.4270000001</v>
      </c>
      <c r="I179">
        <v>7659786.1229999997</v>
      </c>
      <c r="J179">
        <v>7695064.3550000004</v>
      </c>
      <c r="K179">
        <v>7787669.7139999997</v>
      </c>
      <c r="L179">
        <v>7968344.8810000001</v>
      </c>
      <c r="M179">
        <v>8083507.1749999998</v>
      </c>
      <c r="N179">
        <v>8229674.7019999996</v>
      </c>
      <c r="O179">
        <v>8296114.4869999997</v>
      </c>
      <c r="Q179">
        <v>8309402.4440000001</v>
      </c>
    </row>
    <row r="180" spans="1:17" x14ac:dyDescent="0.35">
      <c r="A180" t="s">
        <v>272</v>
      </c>
      <c r="B180">
        <v>894259.1</v>
      </c>
      <c r="C180">
        <v>728242.2</v>
      </c>
      <c r="D180">
        <v>722822.38</v>
      </c>
      <c r="E180">
        <v>809337.8</v>
      </c>
      <c r="F180">
        <v>697705</v>
      </c>
      <c r="G180">
        <v>700144.42</v>
      </c>
      <c r="H180">
        <v>857746.65</v>
      </c>
      <c r="I180">
        <v>658303.12</v>
      </c>
      <c r="J180">
        <v>627841.61</v>
      </c>
      <c r="K180">
        <v>572157.21</v>
      </c>
      <c r="L180">
        <v>623665.28</v>
      </c>
      <c r="M180">
        <v>615312.62</v>
      </c>
      <c r="N180">
        <v>572157.21</v>
      </c>
      <c r="O180">
        <v>588862.53</v>
      </c>
      <c r="P180">
        <v>626449.5</v>
      </c>
      <c r="Q180">
        <v>556844</v>
      </c>
    </row>
    <row r="181" spans="1:17" x14ac:dyDescent="0.35">
      <c r="A181" t="s">
        <v>225</v>
      </c>
      <c r="B181">
        <v>34190675.053999998</v>
      </c>
      <c r="C181">
        <v>33489841.305</v>
      </c>
      <c r="D181">
        <v>32802605.888999999</v>
      </c>
      <c r="E181">
        <v>34050585.181000002</v>
      </c>
      <c r="F181">
        <v>31348548.875</v>
      </c>
      <c r="G181">
        <v>32442899.594000001</v>
      </c>
      <c r="H181">
        <v>27478646.866999999</v>
      </c>
      <c r="I181">
        <v>31750023.596999999</v>
      </c>
      <c r="J181">
        <v>34401164.994000003</v>
      </c>
      <c r="K181">
        <v>34660796.428000003</v>
      </c>
      <c r="L181">
        <v>30725757.508000001</v>
      </c>
      <c r="M181">
        <v>30898578.048</v>
      </c>
      <c r="N181">
        <v>29196846.763</v>
      </c>
      <c r="O181">
        <v>30153057.675999999</v>
      </c>
      <c r="P181">
        <v>41457958.515000001</v>
      </c>
      <c r="Q181">
        <v>33546999.517999999</v>
      </c>
    </row>
    <row r="182" spans="1:17" x14ac:dyDescent="0.35">
      <c r="A182" t="s">
        <v>79</v>
      </c>
      <c r="B182">
        <v>646615.27688000002</v>
      </c>
      <c r="C182">
        <v>656893.84342000005</v>
      </c>
      <c r="D182">
        <v>626525.35137000005</v>
      </c>
      <c r="E182">
        <v>747532.11199999996</v>
      </c>
      <c r="F182">
        <v>764818.79209</v>
      </c>
      <c r="G182">
        <v>783039.88731999998</v>
      </c>
      <c r="H182">
        <v>791916.83114999998</v>
      </c>
      <c r="I182">
        <v>747532.11199999996</v>
      </c>
      <c r="J182">
        <v>712491.54425000004</v>
      </c>
      <c r="K182">
        <v>726507.77138000005</v>
      </c>
      <c r="L182">
        <v>714827.58213</v>
      </c>
      <c r="M182">
        <v>959148.00086999999</v>
      </c>
      <c r="N182">
        <v>867827.5821</v>
      </c>
      <c r="O182">
        <v>929653.20723000006</v>
      </c>
      <c r="P182">
        <v>992613.24750000006</v>
      </c>
      <c r="Q182">
        <v>902427.24387000001</v>
      </c>
    </row>
    <row r="183" spans="1:17" x14ac:dyDescent="0.35">
      <c r="A183" t="s">
        <v>226</v>
      </c>
      <c r="B183">
        <v>24482381</v>
      </c>
      <c r="C183">
        <v>24283441.600000001</v>
      </c>
      <c r="D183">
        <v>23139435.495999999</v>
      </c>
      <c r="E183">
        <v>25548268.52</v>
      </c>
      <c r="F183">
        <v>24350593.359999999</v>
      </c>
      <c r="G183">
        <v>25679360</v>
      </c>
      <c r="H183">
        <v>28240876.16</v>
      </c>
      <c r="I183">
        <v>33428106.879999999</v>
      </c>
      <c r="J183">
        <v>35528817.600000001</v>
      </c>
      <c r="K183">
        <v>33282520.98</v>
      </c>
      <c r="L183">
        <v>33308266.5</v>
      </c>
      <c r="M183">
        <v>32021388.359999999</v>
      </c>
      <c r="N183">
        <v>30858959.300000001</v>
      </c>
      <c r="O183">
        <v>30306644.940000001</v>
      </c>
      <c r="P183">
        <v>32171686.399999999</v>
      </c>
      <c r="Q183">
        <v>30967809.600000001</v>
      </c>
    </row>
    <row r="184" spans="1:17" x14ac:dyDescent="0.35">
      <c r="A184" t="s">
        <v>223</v>
      </c>
      <c r="B184">
        <v>589325.66</v>
      </c>
      <c r="C184">
        <v>587915.79</v>
      </c>
      <c r="D184">
        <v>516012.42</v>
      </c>
      <c r="E184">
        <v>521651.9</v>
      </c>
      <c r="F184">
        <v>501913.72</v>
      </c>
      <c r="G184">
        <v>503323.59</v>
      </c>
      <c r="H184">
        <v>596375.01</v>
      </c>
      <c r="I184">
        <v>726083.05</v>
      </c>
      <c r="J184">
        <v>652769.81000000006</v>
      </c>
      <c r="K184">
        <v>559718.39</v>
      </c>
      <c r="L184">
        <v>593555.27</v>
      </c>
      <c r="M184">
        <v>555488.78</v>
      </c>
      <c r="N184">
        <v>538570.34</v>
      </c>
      <c r="O184">
        <v>456797.88</v>
      </c>
      <c r="P184">
        <v>499093.98</v>
      </c>
      <c r="Q184">
        <v>444109.05</v>
      </c>
    </row>
    <row r="185" spans="1:17" x14ac:dyDescent="0.35">
      <c r="A185" t="s">
        <v>224</v>
      </c>
      <c r="B185">
        <v>353786.94764000003</v>
      </c>
      <c r="C185">
        <v>338571.29823999997</v>
      </c>
      <c r="D185">
        <v>328321.23800000001</v>
      </c>
      <c r="E185">
        <v>376048.71555999998</v>
      </c>
      <c r="F185">
        <v>384694.85571999999</v>
      </c>
      <c r="G185">
        <v>408397.80407999997</v>
      </c>
      <c r="H185">
        <v>325119.1384</v>
      </c>
      <c r="I185">
        <v>293410.08424</v>
      </c>
      <c r="J185">
        <v>299175.57711999997</v>
      </c>
      <c r="K185">
        <v>295972.70640000002</v>
      </c>
      <c r="L185">
        <v>289886.18959999998</v>
      </c>
      <c r="M185">
        <v>272748.1666</v>
      </c>
      <c r="N185">
        <v>302696.73</v>
      </c>
      <c r="O185">
        <v>297253.88896000001</v>
      </c>
      <c r="P185">
        <v>400868.00767999998</v>
      </c>
      <c r="Q185">
        <v>286202.93968000001</v>
      </c>
    </row>
    <row r="186" spans="1:17" x14ac:dyDescent="0.35">
      <c r="A186" t="s">
        <v>221</v>
      </c>
      <c r="B186">
        <v>638110.79252000002</v>
      </c>
      <c r="C186">
        <v>604378.06339999998</v>
      </c>
      <c r="D186">
        <v>427611.83552000002</v>
      </c>
      <c r="E186">
        <v>548580.97320000001</v>
      </c>
      <c r="F186">
        <v>500755.96528</v>
      </c>
      <c r="G186">
        <v>517635.37984000001</v>
      </c>
      <c r="H186">
        <v>579526.56655999995</v>
      </c>
      <c r="I186">
        <v>599219.21687999996</v>
      </c>
      <c r="J186">
        <v>534279.29561999999</v>
      </c>
      <c r="K186">
        <v>463607.43112000002</v>
      </c>
      <c r="L186">
        <v>528625.54645999998</v>
      </c>
      <c r="M186">
        <v>716299.81874000002</v>
      </c>
      <c r="N186">
        <v>767261.86118000001</v>
      </c>
      <c r="O186">
        <v>634194.30591999996</v>
      </c>
      <c r="P186">
        <v>642687.97965999995</v>
      </c>
      <c r="Q186">
        <v>645519.20423999999</v>
      </c>
    </row>
    <row r="187" spans="1:17" x14ac:dyDescent="0.35">
      <c r="A187" t="s">
        <v>228</v>
      </c>
      <c r="B187">
        <v>41746174.361000001</v>
      </c>
      <c r="C187">
        <v>41231636.468000002</v>
      </c>
      <c r="D187">
        <v>37663881.816</v>
      </c>
      <c r="E187">
        <v>37749481.546999998</v>
      </c>
      <c r="F187">
        <v>29754466.635000002</v>
      </c>
      <c r="G187">
        <v>32632660.344000001</v>
      </c>
      <c r="H187">
        <v>33985930.773000002</v>
      </c>
      <c r="I187">
        <v>25438058.063999999</v>
      </c>
      <c r="J187">
        <v>25900617.713</v>
      </c>
      <c r="K187">
        <v>23211201.719999999</v>
      </c>
      <c r="L187">
        <v>30063216.988000002</v>
      </c>
      <c r="M187">
        <v>31553530.309</v>
      </c>
      <c r="N187">
        <v>34260076.340000004</v>
      </c>
      <c r="O187">
        <v>41129221.645999998</v>
      </c>
      <c r="P187">
        <v>42807965.402999997</v>
      </c>
      <c r="Q187">
        <v>40973338.314000003</v>
      </c>
    </row>
    <row r="188" spans="1:17" x14ac:dyDescent="0.35">
      <c r="A188" t="s">
        <v>230</v>
      </c>
      <c r="B188">
        <v>36828280.185000002</v>
      </c>
      <c r="C188">
        <v>35995479.880000003</v>
      </c>
      <c r="D188">
        <v>33016421.278000001</v>
      </c>
      <c r="E188">
        <v>33904755.483000003</v>
      </c>
      <c r="F188">
        <v>31332287.682</v>
      </c>
      <c r="G188">
        <v>30019148.894000001</v>
      </c>
      <c r="H188">
        <v>35904530.736000001</v>
      </c>
      <c r="I188">
        <v>34831096.311999999</v>
      </c>
      <c r="J188">
        <v>34296458.555</v>
      </c>
      <c r="K188">
        <v>30808575.083000001</v>
      </c>
      <c r="L188">
        <v>26987644.037</v>
      </c>
      <c r="M188">
        <v>29636705.541999999</v>
      </c>
      <c r="N188">
        <v>29543916.857999999</v>
      </c>
      <c r="O188">
        <v>31269786.373</v>
      </c>
      <c r="P188">
        <v>27391402.954</v>
      </c>
      <c r="Q188">
        <v>27391402.954</v>
      </c>
    </row>
    <row r="189" spans="1:17" x14ac:dyDescent="0.35">
      <c r="A189" t="s">
        <v>236</v>
      </c>
      <c r="B189">
        <v>28935657.765999999</v>
      </c>
      <c r="C189">
        <v>27282191.607999999</v>
      </c>
      <c r="D189">
        <v>22321970.949999999</v>
      </c>
      <c r="E189">
        <v>20255121.787999999</v>
      </c>
      <c r="F189">
        <v>17051505.587000001</v>
      </c>
      <c r="G189">
        <v>19118354.749000002</v>
      </c>
      <c r="H189">
        <v>18704984.916000001</v>
      </c>
      <c r="I189">
        <v>20048436.870999999</v>
      </c>
      <c r="J189">
        <v>17051505.587000001</v>
      </c>
      <c r="K189">
        <v>14777971.507999999</v>
      </c>
      <c r="L189">
        <v>12091067.596999999</v>
      </c>
      <c r="M189">
        <v>10549978.198000001</v>
      </c>
      <c r="N189">
        <v>9825960.0869999994</v>
      </c>
      <c r="O189">
        <v>8688217.3399999999</v>
      </c>
      <c r="P189">
        <v>10653409.357000001</v>
      </c>
      <c r="Q189">
        <v>8377923.8635999998</v>
      </c>
    </row>
    <row r="190" spans="1:17" x14ac:dyDescent="0.35">
      <c r="A190" t="s">
        <v>80</v>
      </c>
      <c r="B190">
        <v>1786012.81</v>
      </c>
      <c r="C190">
        <v>1672764.97</v>
      </c>
      <c r="D190">
        <v>1592667.78</v>
      </c>
      <c r="E190">
        <v>1704761.7</v>
      </c>
      <c r="F190">
        <v>1697755.83</v>
      </c>
      <c r="G190">
        <v>1670513.74</v>
      </c>
      <c r="H190">
        <v>1860502.82</v>
      </c>
      <c r="I190">
        <v>1730754.18</v>
      </c>
      <c r="J190">
        <v>1679653.53</v>
      </c>
      <c r="K190">
        <v>1675032.75</v>
      </c>
      <c r="L190">
        <v>1852932.78</v>
      </c>
      <c r="M190">
        <v>1922378.34</v>
      </c>
      <c r="N190">
        <v>2056068.92</v>
      </c>
      <c r="O190">
        <v>2012273.73</v>
      </c>
      <c r="P190">
        <v>2095254.09</v>
      </c>
      <c r="Q190">
        <v>2000748.68</v>
      </c>
    </row>
    <row r="191" spans="1:17" x14ac:dyDescent="0.35">
      <c r="A191" t="s">
        <v>182</v>
      </c>
      <c r="B191">
        <v>3361275</v>
      </c>
      <c r="C191">
        <v>3242554</v>
      </c>
      <c r="D191">
        <v>3054363.72</v>
      </c>
      <c r="E191">
        <v>2882815.92</v>
      </c>
      <c r="F191">
        <v>2866731.46</v>
      </c>
      <c r="G191">
        <v>2719959.4</v>
      </c>
      <c r="H191">
        <v>2855079.86</v>
      </c>
      <c r="I191">
        <v>2855284.78</v>
      </c>
      <c r="J191">
        <v>2866841.54</v>
      </c>
      <c r="K191">
        <v>2273857.6776000001</v>
      </c>
      <c r="L191">
        <v>2183368.8078000001</v>
      </c>
      <c r="M191">
        <v>2136880.6800000002</v>
      </c>
      <c r="N191">
        <v>2086910.84</v>
      </c>
      <c r="O191">
        <v>2317123.5</v>
      </c>
      <c r="P191">
        <v>2250584.4</v>
      </c>
      <c r="Q191">
        <v>1995255.6</v>
      </c>
    </row>
    <row r="192" spans="1:17" x14ac:dyDescent="0.35">
      <c r="A192" t="s">
        <v>231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  <c r="I192">
        <v>2855284.78</v>
      </c>
      <c r="J192">
        <v>2866841.54</v>
      </c>
      <c r="K192">
        <v>2273857.6776000001</v>
      </c>
      <c r="L192">
        <v>2183368.8078000001</v>
      </c>
      <c r="M192">
        <v>2136880.6800000002</v>
      </c>
      <c r="N192">
        <v>2086910.84</v>
      </c>
      <c r="O192">
        <v>2317123.5</v>
      </c>
      <c r="P192">
        <v>2250584.4</v>
      </c>
      <c r="Q192">
        <v>1995255.6</v>
      </c>
    </row>
    <row r="193" spans="1:17" x14ac:dyDescent="0.35">
      <c r="A193" t="s">
        <v>232</v>
      </c>
      <c r="B193">
        <v>65827589.968999997</v>
      </c>
      <c r="C193">
        <v>60648375.634999998</v>
      </c>
      <c r="D193">
        <v>56435440.130000003</v>
      </c>
      <c r="E193">
        <v>62740579.783</v>
      </c>
      <c r="F193">
        <v>60365051.814999998</v>
      </c>
      <c r="G193">
        <v>62284449.105999999</v>
      </c>
      <c r="H193">
        <v>70721562.423999995</v>
      </c>
      <c r="I193">
        <v>83443492.453999996</v>
      </c>
      <c r="J193">
        <v>78162851.511000007</v>
      </c>
      <c r="K193">
        <v>72270846.612000003</v>
      </c>
      <c r="L193">
        <v>86857420.539000005</v>
      </c>
      <c r="M193">
        <v>92859762.608999997</v>
      </c>
      <c r="N193">
        <v>95640259.303000003</v>
      </c>
      <c r="O193">
        <v>102900445.11</v>
      </c>
      <c r="P193">
        <v>93529720.875</v>
      </c>
      <c r="Q193">
        <v>89602311.033999994</v>
      </c>
    </row>
    <row r="194" spans="1:17" x14ac:dyDescent="0.35">
      <c r="A194" t="s">
        <v>233</v>
      </c>
      <c r="B194">
        <v>4976824.2461999999</v>
      </c>
      <c r="C194">
        <v>4847860.6025999999</v>
      </c>
      <c r="D194">
        <v>4751137.8699000003</v>
      </c>
      <c r="E194">
        <v>4686656.0481000002</v>
      </c>
      <c r="F194">
        <v>4657346.1290999996</v>
      </c>
      <c r="G194">
        <v>4830237.4430999998</v>
      </c>
      <c r="H194">
        <v>3761082.3996000001</v>
      </c>
      <c r="I194">
        <v>4238540.6793</v>
      </c>
      <c r="J194">
        <v>4198312.4762000004</v>
      </c>
      <c r="K194">
        <v>4025458.0197000001</v>
      </c>
      <c r="L194">
        <v>3788149.3591</v>
      </c>
      <c r="M194">
        <v>3694449.5787999998</v>
      </c>
      <c r="N194">
        <v>3638783.804</v>
      </c>
      <c r="O194">
        <v>3134862.0534000001</v>
      </c>
      <c r="P194">
        <v>3310650.5863999999</v>
      </c>
      <c r="Q194">
        <v>3316510.145</v>
      </c>
    </row>
    <row r="195" spans="1:17" x14ac:dyDescent="0.35">
      <c r="A195" t="s">
        <v>220</v>
      </c>
      <c r="B195">
        <v>44569783.516999997</v>
      </c>
      <c r="C195">
        <v>39860363.269000001</v>
      </c>
      <c r="D195">
        <v>33930788.254000001</v>
      </c>
      <c r="E195">
        <v>33361762.612</v>
      </c>
      <c r="F195">
        <v>29610408.383000001</v>
      </c>
      <c r="G195">
        <v>35395502.405000001</v>
      </c>
      <c r="H195">
        <v>45269151.035999998</v>
      </c>
      <c r="I195">
        <v>45269151.035999998</v>
      </c>
      <c r="J195">
        <v>42731268.380000003</v>
      </c>
      <c r="K195">
        <v>37532227.089000002</v>
      </c>
      <c r="L195">
        <v>37795870.156999998</v>
      </c>
      <c r="M195">
        <v>41599187.950000003</v>
      </c>
      <c r="N195">
        <v>41588643.162</v>
      </c>
      <c r="O195">
        <v>47715164.884999998</v>
      </c>
      <c r="P195">
        <v>52918865.044</v>
      </c>
      <c r="Q195">
        <v>47626978.843999997</v>
      </c>
    </row>
    <row r="196" spans="1:17" x14ac:dyDescent="0.35">
      <c r="A196" t="s">
        <v>192</v>
      </c>
      <c r="B196">
        <v>941024.54469999997</v>
      </c>
      <c r="C196">
        <v>861829.40974999999</v>
      </c>
      <c r="D196">
        <v>786361.10467999999</v>
      </c>
      <c r="E196">
        <v>887917.21891000005</v>
      </c>
      <c r="F196">
        <v>864624.53215999994</v>
      </c>
      <c r="G196">
        <v>842263.55287999997</v>
      </c>
      <c r="H196">
        <v>853444.04252000002</v>
      </c>
      <c r="I196">
        <v>864624.53215999994</v>
      </c>
      <c r="J196">
        <v>831083.06324000005</v>
      </c>
      <c r="K196">
        <v>758409.88058</v>
      </c>
      <c r="L196">
        <v>731390.36395000003</v>
      </c>
      <c r="M196">
        <v>730458.65648000001</v>
      </c>
      <c r="N196">
        <v>758409.88058</v>
      </c>
      <c r="O196">
        <v>764000.12540000002</v>
      </c>
      <c r="P196">
        <v>784497.68973999994</v>
      </c>
      <c r="Q196">
        <v>730458.65648000001</v>
      </c>
    </row>
    <row r="197" spans="1:17" x14ac:dyDescent="0.35">
      <c r="A197" t="s">
        <v>235</v>
      </c>
      <c r="B197">
        <v>363234.69695999997</v>
      </c>
      <c r="C197">
        <v>343135.95328000002</v>
      </c>
      <c r="D197">
        <v>333906.31871999998</v>
      </c>
      <c r="E197">
        <v>358255.55200000003</v>
      </c>
      <c r="F197">
        <v>412904.70400000003</v>
      </c>
      <c r="G197">
        <v>428570.79424000002</v>
      </c>
      <c r="H197">
        <v>423834.5344</v>
      </c>
      <c r="I197">
        <v>413208.31040000002</v>
      </c>
      <c r="J197">
        <v>424077.41952</v>
      </c>
      <c r="K197">
        <v>420494.864</v>
      </c>
      <c r="L197">
        <v>417944.57023999997</v>
      </c>
      <c r="M197">
        <v>390741.43680000002</v>
      </c>
      <c r="N197">
        <v>424320.30463999999</v>
      </c>
      <c r="O197">
        <v>411083.06559999997</v>
      </c>
      <c r="P197">
        <v>388616.19199999998</v>
      </c>
      <c r="Q197">
        <v>424198.86207999999</v>
      </c>
    </row>
    <row r="198" spans="1:17" x14ac:dyDescent="0.35">
      <c r="A198" t="s">
        <v>234</v>
      </c>
      <c r="B198">
        <v>101857744.83</v>
      </c>
      <c r="C198">
        <v>93537239.010000005</v>
      </c>
      <c r="D198">
        <v>88905868.939999998</v>
      </c>
      <c r="E198">
        <v>95323925.340000004</v>
      </c>
      <c r="F198">
        <v>94340287.930000007</v>
      </c>
      <c r="G198">
        <v>99645869.5</v>
      </c>
      <c r="H198">
        <v>110250340.55</v>
      </c>
      <c r="I198">
        <v>109990942.95</v>
      </c>
      <c r="J198">
        <v>109724683.81</v>
      </c>
      <c r="K198">
        <v>98754853.75</v>
      </c>
      <c r="L198">
        <v>105694525.23999999</v>
      </c>
      <c r="M198">
        <v>110174270.47</v>
      </c>
      <c r="N198">
        <v>116497731.44</v>
      </c>
      <c r="O198">
        <v>127580454.01000001</v>
      </c>
      <c r="P198">
        <v>135647831.81999999</v>
      </c>
      <c r="Q198">
        <v>125800292.25</v>
      </c>
    </row>
    <row r="199" spans="1:17" x14ac:dyDescent="0.35">
      <c r="A199" t="s">
        <v>238</v>
      </c>
      <c r="B199">
        <v>8175621.8241999997</v>
      </c>
      <c r="C199">
        <v>9067233.0985000003</v>
      </c>
      <c r="D199">
        <v>8213827.2982999999</v>
      </c>
      <c r="E199">
        <v>7838119.2884</v>
      </c>
      <c r="F199">
        <v>8271331.5698999995</v>
      </c>
      <c r="G199">
        <v>8251182.1544000003</v>
      </c>
      <c r="H199">
        <v>9223391.0237000007</v>
      </c>
      <c r="I199">
        <v>9858097.3390999995</v>
      </c>
      <c r="J199">
        <v>11575834.302999999</v>
      </c>
      <c r="K199">
        <v>10528065.199999999</v>
      </c>
      <c r="L199">
        <v>10538139.889</v>
      </c>
      <c r="M199">
        <v>11364265.572000001</v>
      </c>
      <c r="N199">
        <v>10477691.625</v>
      </c>
      <c r="O199">
        <v>11203070.261</v>
      </c>
      <c r="P199">
        <v>14618394.943</v>
      </c>
      <c r="Q199">
        <v>12257208.868000001</v>
      </c>
    </row>
    <row r="200" spans="1:17" x14ac:dyDescent="0.35">
      <c r="A200" t="s">
        <v>82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  <c r="I200">
        <v>9858097.3390999995</v>
      </c>
      <c r="J200">
        <v>11575834.302999999</v>
      </c>
      <c r="K200">
        <v>10528065.199999999</v>
      </c>
      <c r="L200">
        <v>10538139.889</v>
      </c>
      <c r="M200">
        <v>11364265.572000001</v>
      </c>
      <c r="N200">
        <v>10477691.625</v>
      </c>
      <c r="O200">
        <v>11203070.261</v>
      </c>
      <c r="P200">
        <v>14618394.943</v>
      </c>
      <c r="Q200">
        <v>12257208.868000001</v>
      </c>
    </row>
    <row r="201" spans="1:17" x14ac:dyDescent="0.35">
      <c r="A201" t="s">
        <v>237</v>
      </c>
      <c r="B201">
        <v>3532620.9064000002</v>
      </c>
      <c r="C201">
        <v>3003799.7837999999</v>
      </c>
      <c r="D201">
        <v>2577184.2656</v>
      </c>
      <c r="E201">
        <v>2884907.76</v>
      </c>
      <c r="F201">
        <v>2365624.3632</v>
      </c>
      <c r="G201">
        <v>2722030.7096000002</v>
      </c>
      <c r="H201">
        <v>2464227.4597999998</v>
      </c>
      <c r="I201">
        <v>2854416.1622000001</v>
      </c>
      <c r="J201">
        <v>2833513.196</v>
      </c>
      <c r="K201">
        <v>2615193.3267999999</v>
      </c>
      <c r="L201">
        <v>2646907.9161</v>
      </c>
      <c r="M201">
        <v>2993454.2689999999</v>
      </c>
      <c r="N201">
        <v>2972730.3547999999</v>
      </c>
      <c r="O201">
        <v>3361879.4098</v>
      </c>
      <c r="P201">
        <v>3315826.2672000001</v>
      </c>
      <c r="Q201">
        <v>2984243.6405000002</v>
      </c>
    </row>
    <row r="202" spans="1:17" x14ac:dyDescent="0.35">
      <c r="A202" t="s">
        <v>176</v>
      </c>
      <c r="B202">
        <v>62937588.737000003</v>
      </c>
      <c r="C202">
        <v>63552747.619999997</v>
      </c>
      <c r="D202">
        <v>60490623.406000003</v>
      </c>
      <c r="E202">
        <v>65364048.773000002</v>
      </c>
      <c r="F202">
        <v>64919767.358000003</v>
      </c>
      <c r="G202">
        <v>69718006.637999997</v>
      </c>
      <c r="H202">
        <v>77844938.980000004</v>
      </c>
      <c r="I202">
        <v>80230388.422999993</v>
      </c>
      <c r="J202">
        <v>81426530.694000006</v>
      </c>
      <c r="K202">
        <v>74475235.326000005</v>
      </c>
      <c r="L202">
        <v>83723123.854000002</v>
      </c>
      <c r="M202">
        <v>90339499.386000007</v>
      </c>
      <c r="N202">
        <v>90107106.030000001</v>
      </c>
      <c r="O202">
        <v>96368056.430000007</v>
      </c>
      <c r="P202">
        <v>99386945.780000001</v>
      </c>
      <c r="Q202">
        <v>93876396.386000007</v>
      </c>
    </row>
    <row r="203" spans="1:17" x14ac:dyDescent="0.35">
      <c r="A203" t="s">
        <v>81</v>
      </c>
      <c r="B203">
        <v>1295884</v>
      </c>
      <c r="C203">
        <v>1180630.6000000001</v>
      </c>
      <c r="D203">
        <v>1109178.8761</v>
      </c>
      <c r="E203">
        <v>1044133.54</v>
      </c>
      <c r="F203">
        <v>1075652.3899999999</v>
      </c>
      <c r="G203">
        <v>1029981.47</v>
      </c>
      <c r="H203">
        <v>1057462.9099999999</v>
      </c>
      <c r="I203">
        <v>973301</v>
      </c>
      <c r="J203">
        <v>1016244.96</v>
      </c>
      <c r="K203">
        <v>1041422.2</v>
      </c>
      <c r="L203">
        <v>1256000.95</v>
      </c>
      <c r="M203">
        <v>1208678.26</v>
      </c>
      <c r="N203">
        <v>1197237.8600000001</v>
      </c>
      <c r="O203">
        <v>1583351.36</v>
      </c>
      <c r="P203">
        <v>860890.1</v>
      </c>
      <c r="Q203">
        <v>796823.86</v>
      </c>
    </row>
    <row r="204" spans="1:17" x14ac:dyDescent="0.35">
      <c r="A204" t="s">
        <v>240</v>
      </c>
      <c r="B204">
        <v>886344.62</v>
      </c>
      <c r="C204">
        <v>778717.05900000001</v>
      </c>
      <c r="D204">
        <v>569792.97</v>
      </c>
      <c r="E204">
        <v>643232.95279999997</v>
      </c>
      <c r="F204">
        <v>533072.97860000003</v>
      </c>
      <c r="G204">
        <v>617041.92414999998</v>
      </c>
      <c r="H204">
        <v>762078.58261000004</v>
      </c>
      <c r="I204">
        <v>1287518.4066999999</v>
      </c>
      <c r="J204">
        <v>1160293.2677</v>
      </c>
      <c r="K204">
        <v>1047062.8939</v>
      </c>
      <c r="L204">
        <v>1133575.9885</v>
      </c>
      <c r="M204">
        <v>1447149.9835999999</v>
      </c>
      <c r="N204">
        <v>1299117.0046999999</v>
      </c>
      <c r="O204">
        <v>1174054.6603999999</v>
      </c>
      <c r="P204">
        <v>1595182.9624999999</v>
      </c>
      <c r="Q204">
        <v>1253175.7353000001</v>
      </c>
    </row>
    <row r="205" spans="1:17" x14ac:dyDescent="0.35">
      <c r="A205" t="s">
        <v>244</v>
      </c>
      <c r="B205">
        <v>86357.625799999994</v>
      </c>
      <c r="C205">
        <v>80959.766399999993</v>
      </c>
      <c r="D205">
        <v>57242.69354</v>
      </c>
      <c r="E205">
        <v>82341.589699999997</v>
      </c>
      <c r="F205">
        <v>69222.421619999994</v>
      </c>
      <c r="G205">
        <v>72490.269350000002</v>
      </c>
      <c r="H205">
        <v>67539.714370000002</v>
      </c>
      <c r="I205">
        <v>89051.489520000003</v>
      </c>
      <c r="J205">
        <v>47292.881439999997</v>
      </c>
      <c r="K205">
        <v>48802.228719999999</v>
      </c>
      <c r="L205">
        <v>48802.228719999999</v>
      </c>
      <c r="M205">
        <v>59719.118880000002</v>
      </c>
      <c r="N205">
        <v>46268.866880000001</v>
      </c>
      <c r="O205">
        <v>61468.130879999997</v>
      </c>
      <c r="P205">
        <v>9673162.8090000004</v>
      </c>
      <c r="Q205">
        <v>31639.22784</v>
      </c>
    </row>
    <row r="206" spans="1:17" x14ac:dyDescent="0.35">
      <c r="A206" t="s">
        <v>243</v>
      </c>
    </row>
    <row r="207" spans="1:17" x14ac:dyDescent="0.35">
      <c r="A207" t="s">
        <v>249</v>
      </c>
      <c r="B207">
        <v>2242894.1123000002</v>
      </c>
      <c r="C207">
        <v>2000032.9664</v>
      </c>
      <c r="D207">
        <v>2042917.3981000001</v>
      </c>
      <c r="E207">
        <v>2196463.3919000002</v>
      </c>
      <c r="F207">
        <v>2107176.2620999999</v>
      </c>
      <c r="G207">
        <v>1992888.736</v>
      </c>
      <c r="H207">
        <v>1957173.8840999999</v>
      </c>
      <c r="I207">
        <v>1950030.9136999999</v>
      </c>
      <c r="J207">
        <v>1924037.1403999999</v>
      </c>
      <c r="K207">
        <v>1802669.3060000001</v>
      </c>
      <c r="L207">
        <v>1759833.5996999999</v>
      </c>
      <c r="M207">
        <v>1697198.0824</v>
      </c>
      <c r="N207">
        <v>1736419.0464999999</v>
      </c>
      <c r="O207">
        <v>1821992.0591</v>
      </c>
      <c r="P207">
        <v>1903999.5294999999</v>
      </c>
      <c r="Q207">
        <v>1800598.8060000001</v>
      </c>
    </row>
    <row r="208" spans="1:17" x14ac:dyDescent="0.35">
      <c r="A208" t="s">
        <v>242</v>
      </c>
      <c r="B208">
        <v>4611839.8650000002</v>
      </c>
      <c r="C208">
        <v>3982560.7807</v>
      </c>
      <c r="D208">
        <v>3018460.8319999999</v>
      </c>
      <c r="E208">
        <v>3130255.6776000001</v>
      </c>
      <c r="F208">
        <v>2683076.2951000002</v>
      </c>
      <c r="G208">
        <v>3465248.7771000001</v>
      </c>
      <c r="H208">
        <v>4574811.1934000002</v>
      </c>
      <c r="I208">
        <v>4549205.9068</v>
      </c>
      <c r="J208">
        <v>4336265.2213000003</v>
      </c>
      <c r="K208">
        <v>3627780.943</v>
      </c>
      <c r="L208">
        <v>4430160.7280000001</v>
      </c>
      <c r="M208">
        <v>4259441.6248000003</v>
      </c>
      <c r="N208">
        <v>3943611.2839000002</v>
      </c>
      <c r="O208">
        <v>5445939.3920999998</v>
      </c>
      <c r="P208">
        <v>5710554.0020000003</v>
      </c>
      <c r="Q208">
        <v>4430160.7280000001</v>
      </c>
    </row>
    <row r="209" spans="1:17" x14ac:dyDescent="0.35">
      <c r="A209" t="s">
        <v>83</v>
      </c>
      <c r="B209">
        <v>7483187.3230999997</v>
      </c>
      <c r="C209">
        <v>7659158.8063000003</v>
      </c>
      <c r="D209">
        <v>7712549.7750000004</v>
      </c>
      <c r="E209">
        <v>7884429.4556999998</v>
      </c>
      <c r="F209">
        <v>7950537.0252</v>
      </c>
      <c r="G209">
        <v>8200504.8216000004</v>
      </c>
      <c r="H209">
        <v>8725160.7752999999</v>
      </c>
      <c r="I209">
        <v>8328362.1547999997</v>
      </c>
      <c r="J209">
        <v>7884334.8510999996</v>
      </c>
      <c r="K209">
        <v>8051992.7829999998</v>
      </c>
      <c r="L209">
        <v>7721088.9699999997</v>
      </c>
      <c r="M209">
        <v>7240208.6914999997</v>
      </c>
      <c r="N209">
        <v>7125494.8426000001</v>
      </c>
      <c r="O209">
        <v>7297565.6158999996</v>
      </c>
      <c r="P209">
        <v>7973973.1659000004</v>
      </c>
      <c r="Q209">
        <v>7087976.1475</v>
      </c>
    </row>
    <row r="210" spans="1:17" x14ac:dyDescent="0.35">
      <c r="A210" t="s">
        <v>247</v>
      </c>
    </row>
    <row r="211" spans="1:17" x14ac:dyDescent="0.35">
      <c r="A211" t="s">
        <v>470</v>
      </c>
    </row>
    <row r="212" spans="1:17" x14ac:dyDescent="0.35">
      <c r="A212" t="s">
        <v>471</v>
      </c>
      <c r="B212">
        <v>12809394.014</v>
      </c>
      <c r="C212">
        <v>10681334.505000001</v>
      </c>
      <c r="D212">
        <v>9942669.2214000002</v>
      </c>
      <c r="E212">
        <v>11496211.287</v>
      </c>
      <c r="F212">
        <v>10458562.435000001</v>
      </c>
      <c r="G212">
        <v>12195846.082</v>
      </c>
      <c r="H212">
        <v>14602763.795</v>
      </c>
      <c r="I212">
        <v>14339973.772</v>
      </c>
      <c r="J212">
        <v>14835691.316</v>
      </c>
      <c r="K212">
        <v>12601976.118000001</v>
      </c>
      <c r="L212">
        <v>14578873.793</v>
      </c>
      <c r="M212">
        <v>15934631.414000001</v>
      </c>
      <c r="N212">
        <v>15038756.334000001</v>
      </c>
      <c r="O212">
        <v>15677813.891000001</v>
      </c>
      <c r="P212">
        <v>13223054.447000001</v>
      </c>
      <c r="Q212">
        <v>13915861.274</v>
      </c>
    </row>
    <row r="213" spans="1:17" x14ac:dyDescent="0.35">
      <c r="A213" t="s">
        <v>248</v>
      </c>
      <c r="B213">
        <v>8417264.1000999995</v>
      </c>
      <c r="C213">
        <v>8443858.9313999992</v>
      </c>
      <c r="D213">
        <v>7683980.3327000001</v>
      </c>
      <c r="E213">
        <v>7730229.5694000004</v>
      </c>
      <c r="F213">
        <v>6993545.2984999996</v>
      </c>
      <c r="G213">
        <v>6801560.2736999998</v>
      </c>
      <c r="H213">
        <v>6410552.7023999998</v>
      </c>
      <c r="I213">
        <v>6952706.0575999999</v>
      </c>
      <c r="J213">
        <v>5773111.7878999999</v>
      </c>
      <c r="K213">
        <v>6072117.5777000003</v>
      </c>
      <c r="L213">
        <v>5980115.7961999997</v>
      </c>
      <c r="M213">
        <v>5704110.4517999999</v>
      </c>
      <c r="N213">
        <v>4613232.1856000004</v>
      </c>
      <c r="O213">
        <v>4583660.1843999997</v>
      </c>
      <c r="P213">
        <v>4969088.4396000002</v>
      </c>
      <c r="Q213">
        <v>4920276.1759000001</v>
      </c>
    </row>
    <row r="214" spans="1:17" x14ac:dyDescent="0.35">
      <c r="A214" t="s">
        <v>241</v>
      </c>
      <c r="B214">
        <v>1678338.9828000001</v>
      </c>
      <c r="C214">
        <v>1515223.3066</v>
      </c>
      <c r="D214">
        <v>1379011.5776</v>
      </c>
      <c r="E214">
        <v>1462236.1392999999</v>
      </c>
      <c r="F214">
        <v>1349239.0503</v>
      </c>
      <c r="G214">
        <v>1399011.5776</v>
      </c>
      <c r="H214">
        <v>1389595.1535</v>
      </c>
      <c r="I214">
        <v>1506627.8528</v>
      </c>
      <c r="J214">
        <v>1545948.956</v>
      </c>
      <c r="K214">
        <v>1384632.5432</v>
      </c>
      <c r="L214">
        <v>1395386.9706999999</v>
      </c>
      <c r="M214">
        <v>1435716.0739</v>
      </c>
      <c r="N214">
        <v>1411518.612</v>
      </c>
      <c r="O214">
        <v>1187019.9375</v>
      </c>
      <c r="P214">
        <v>1230059.7505999999</v>
      </c>
      <c r="Q214">
        <v>1275199.5578999999</v>
      </c>
    </row>
    <row r="215" spans="1:17" x14ac:dyDescent="0.35">
      <c r="A215" t="s">
        <v>109</v>
      </c>
      <c r="B215">
        <v>5168363.0718</v>
      </c>
      <c r="C215">
        <v>3929201.3232999998</v>
      </c>
      <c r="D215">
        <v>3424785.9304999998</v>
      </c>
      <c r="E215">
        <v>4022566.7475000001</v>
      </c>
      <c r="F215">
        <v>5093590.7111999998</v>
      </c>
      <c r="G215">
        <v>4788473.4192000004</v>
      </c>
      <c r="H215">
        <v>6102345.8398000002</v>
      </c>
      <c r="I215">
        <v>7136008.5025000004</v>
      </c>
      <c r="J215">
        <v>7272999.9397</v>
      </c>
      <c r="K215">
        <v>7385083.8428999996</v>
      </c>
      <c r="L215">
        <v>7578117.2317000004</v>
      </c>
      <c r="M215">
        <v>7690201.1348999999</v>
      </c>
      <c r="N215">
        <v>7814738.8051000005</v>
      </c>
      <c r="O215">
        <v>7858326.9896</v>
      </c>
    </row>
    <row r="216" spans="1:17" x14ac:dyDescent="0.35">
      <c r="A216" t="s">
        <v>245</v>
      </c>
      <c r="B216">
        <v>10909591.92</v>
      </c>
      <c r="C216">
        <v>11073710.880000001</v>
      </c>
      <c r="D216">
        <v>11293113</v>
      </c>
      <c r="E216">
        <v>11353320</v>
      </c>
      <c r="F216">
        <v>11490936</v>
      </c>
      <c r="G216">
        <v>11441542.199999999</v>
      </c>
      <c r="H216">
        <v>11639254.800000001</v>
      </c>
      <c r="I216">
        <v>11759601.6</v>
      </c>
      <c r="J216">
        <v>11951471.1</v>
      </c>
      <c r="K216">
        <v>12072454.9</v>
      </c>
      <c r="L216">
        <v>12288497.4</v>
      </c>
      <c r="M216">
        <v>12461331.4</v>
      </c>
      <c r="N216">
        <v>12461331.4</v>
      </c>
    </row>
    <row r="217" spans="1:17" x14ac:dyDescent="0.35">
      <c r="A217" t="s">
        <v>239</v>
      </c>
      <c r="B217">
        <v>74069484.060000002</v>
      </c>
      <c r="C217">
        <v>77328690.067000002</v>
      </c>
      <c r="D217">
        <v>76560360.134000003</v>
      </c>
      <c r="E217">
        <v>77279120.393999994</v>
      </c>
      <c r="F217">
        <v>69781707.334999993</v>
      </c>
      <c r="G217">
        <v>65574749.656999998</v>
      </c>
      <c r="H217">
        <v>62032177.234999999</v>
      </c>
      <c r="I217">
        <v>61499552.710000001</v>
      </c>
      <c r="J217">
        <v>63290899.890000001</v>
      </c>
      <c r="K217">
        <v>64489731.619999997</v>
      </c>
      <c r="L217">
        <v>64823427.049999997</v>
      </c>
      <c r="M217">
        <v>61671859.100000001</v>
      </c>
      <c r="N217">
        <v>60423591.009999998</v>
      </c>
      <c r="O217">
        <v>58804550.219999999</v>
      </c>
      <c r="P217">
        <v>60967380.512000002</v>
      </c>
      <c r="Q217">
        <v>63587507.142999999</v>
      </c>
    </row>
    <row r="218" spans="1:17" x14ac:dyDescent="0.35">
      <c r="A218" t="s">
        <v>84</v>
      </c>
      <c r="B218">
        <v>12004797.210000001</v>
      </c>
      <c r="C218">
        <v>11730180.85</v>
      </c>
      <c r="D218">
        <v>11346297.550000001</v>
      </c>
      <c r="E218">
        <v>11395023.880000001</v>
      </c>
      <c r="F218">
        <v>11319740.67</v>
      </c>
      <c r="G218">
        <v>11678516.1</v>
      </c>
      <c r="H218">
        <v>12354716.98</v>
      </c>
      <c r="I218">
        <v>12164249.59</v>
      </c>
      <c r="J218">
        <v>11950173.84</v>
      </c>
      <c r="K218">
        <v>11520532.93</v>
      </c>
      <c r="L218">
        <v>11929493.800000001</v>
      </c>
      <c r="M218">
        <v>12576169.08</v>
      </c>
      <c r="N218">
        <v>13069299.119999999</v>
      </c>
      <c r="O218">
        <v>14854270.109999999</v>
      </c>
      <c r="P218">
        <v>14482221.289999999</v>
      </c>
      <c r="Q218">
        <v>14445309.24</v>
      </c>
    </row>
    <row r="219" spans="1:17" x14ac:dyDescent="0.35">
      <c r="A219" t="s">
        <v>85</v>
      </c>
      <c r="B219">
        <v>1203582.3995000001</v>
      </c>
      <c r="C219">
        <v>1161990.5578999999</v>
      </c>
      <c r="D219">
        <v>1066684.5219000001</v>
      </c>
      <c r="E219">
        <v>1022249.4303</v>
      </c>
      <c r="F219">
        <v>1011085.3712000001</v>
      </c>
      <c r="G219">
        <v>1031566.5936</v>
      </c>
      <c r="H219">
        <v>1075002.1963</v>
      </c>
      <c r="I219">
        <v>1083259.6283</v>
      </c>
      <c r="J219">
        <v>982497.79974000005</v>
      </c>
      <c r="K219">
        <v>759778.43333999999</v>
      </c>
      <c r="L219">
        <v>690126.73254999996</v>
      </c>
      <c r="M219">
        <v>699693.10378999996</v>
      </c>
      <c r="N219">
        <v>724275.03578999999</v>
      </c>
      <c r="O219">
        <v>662286.81174999999</v>
      </c>
      <c r="P219">
        <v>752840.35780999996</v>
      </c>
      <c r="Q219">
        <v>669987.19022999995</v>
      </c>
    </row>
    <row r="220" spans="1:17" x14ac:dyDescent="0.35">
      <c r="A220" t="s">
        <v>86</v>
      </c>
      <c r="B220">
        <v>100121.84</v>
      </c>
      <c r="C220">
        <v>100858.03</v>
      </c>
      <c r="D220">
        <v>92023.75</v>
      </c>
      <c r="E220">
        <v>117790.39999999999</v>
      </c>
      <c r="F220">
        <v>99385.65</v>
      </c>
      <c r="G220">
        <v>108956.12</v>
      </c>
      <c r="H220">
        <v>95704.7</v>
      </c>
      <c r="I220">
        <v>88342.8</v>
      </c>
      <c r="J220">
        <v>126624.68</v>
      </c>
      <c r="K220">
        <v>119998.97</v>
      </c>
      <c r="L220">
        <v>113373.26</v>
      </c>
      <c r="M220">
        <v>112637.07</v>
      </c>
      <c r="N220">
        <v>99385.65</v>
      </c>
      <c r="O220">
        <v>97177.08</v>
      </c>
      <c r="P220">
        <v>110428.5</v>
      </c>
      <c r="Q220">
        <v>83189.47</v>
      </c>
    </row>
    <row r="221" spans="1:17" x14ac:dyDescent="0.35">
      <c r="A221" t="s">
        <v>251</v>
      </c>
      <c r="B221">
        <v>1847640.94</v>
      </c>
      <c r="C221">
        <v>1724546.94</v>
      </c>
      <c r="D221">
        <v>1531289.36</v>
      </c>
      <c r="E221">
        <v>1761444.5092</v>
      </c>
      <c r="F221">
        <v>1805572.5554</v>
      </c>
      <c r="G221">
        <v>1691576.4</v>
      </c>
      <c r="H221">
        <v>1979634.7</v>
      </c>
      <c r="I221">
        <v>2830326.02</v>
      </c>
      <c r="J221">
        <v>2990903.2</v>
      </c>
      <c r="K221">
        <v>2636652.7799999998</v>
      </c>
      <c r="L221">
        <v>2925936.86</v>
      </c>
      <c r="M221">
        <v>3198060.02</v>
      </c>
      <c r="N221">
        <v>2889163.46</v>
      </c>
      <c r="O221">
        <v>3364766.1</v>
      </c>
      <c r="P221">
        <v>3344623.2</v>
      </c>
      <c r="Q221">
        <v>2976229.92</v>
      </c>
    </row>
    <row r="222" spans="1:17" x14ac:dyDescent="0.35">
      <c r="A222" t="s">
        <v>254</v>
      </c>
      <c r="B222">
        <v>1661067.2104</v>
      </c>
      <c r="C222">
        <v>1419865.0891</v>
      </c>
      <c r="D222">
        <v>1391655.8489000001</v>
      </c>
      <c r="E222">
        <v>1515463.0697000001</v>
      </c>
      <c r="F222">
        <v>1538970.7697999999</v>
      </c>
      <c r="G222">
        <v>1705091.8509</v>
      </c>
      <c r="H222">
        <v>1810092.9116</v>
      </c>
      <c r="I222">
        <v>2270843.8344999999</v>
      </c>
      <c r="J222">
        <v>2341366.9349000002</v>
      </c>
      <c r="K222">
        <v>2284948.4545999998</v>
      </c>
      <c r="L222">
        <v>2462039.7957000001</v>
      </c>
      <c r="M222">
        <v>2665773.1970000002</v>
      </c>
      <c r="N222">
        <v>2838162.9981</v>
      </c>
      <c r="O222">
        <v>2798983.4978999998</v>
      </c>
      <c r="P222">
        <v>2444800.8155999999</v>
      </c>
      <c r="Q222">
        <v>2554503.4163000002</v>
      </c>
    </row>
    <row r="223" spans="1:17" x14ac:dyDescent="0.35">
      <c r="A223" t="s">
        <v>257</v>
      </c>
      <c r="B223">
        <v>1946483.0294000001</v>
      </c>
      <c r="C223">
        <v>2017695.8232</v>
      </c>
      <c r="D223">
        <v>1887798.4124</v>
      </c>
      <c r="E223">
        <v>1995936.3584</v>
      </c>
      <c r="F223">
        <v>2129790.0356000001</v>
      </c>
      <c r="G223">
        <v>2218806.0277999998</v>
      </c>
      <c r="H223">
        <v>2351340.9495000001</v>
      </c>
      <c r="I223">
        <v>2421894.3656000001</v>
      </c>
      <c r="J223">
        <v>2315734.5526000001</v>
      </c>
      <c r="K223">
        <v>2417938.0992000001</v>
      </c>
      <c r="L223">
        <v>2406728.6779999998</v>
      </c>
      <c r="M223">
        <v>2289359.4438</v>
      </c>
      <c r="N223">
        <v>2402113.034</v>
      </c>
      <c r="O223">
        <v>2636192.1246000002</v>
      </c>
      <c r="P223">
        <v>2571573.108</v>
      </c>
      <c r="Q223">
        <v>2439038.1863000002</v>
      </c>
    </row>
    <row r="224" spans="1:17" x14ac:dyDescent="0.35">
      <c r="A224" t="s">
        <v>252</v>
      </c>
      <c r="B224">
        <v>40130408.344999999</v>
      </c>
      <c r="C224">
        <v>38339304.473999999</v>
      </c>
      <c r="D224">
        <v>35050332.568999998</v>
      </c>
      <c r="E224">
        <v>37858232.140000001</v>
      </c>
      <c r="F224">
        <v>39141151.770999998</v>
      </c>
      <c r="G224">
        <v>43556477.004000001</v>
      </c>
      <c r="H224">
        <v>45855291.068000004</v>
      </c>
      <c r="I224">
        <v>47161985.377999999</v>
      </c>
      <c r="J224">
        <v>53310293.335000001</v>
      </c>
      <c r="K224">
        <v>48378184.564000003</v>
      </c>
      <c r="L224">
        <v>55002683.600000001</v>
      </c>
      <c r="M224">
        <v>56515643.240999997</v>
      </c>
      <c r="N224">
        <v>58415530.822999999</v>
      </c>
      <c r="O224">
        <v>60916648.651000001</v>
      </c>
      <c r="P224">
        <v>58570147.255000003</v>
      </c>
      <c r="Q224">
        <v>50974181.990999997</v>
      </c>
    </row>
    <row r="225" spans="1:17" x14ac:dyDescent="0.35">
      <c r="A225" t="s">
        <v>255</v>
      </c>
      <c r="B225">
        <v>17685808.934999999</v>
      </c>
      <c r="C225">
        <v>16275211.573999999</v>
      </c>
      <c r="D225">
        <v>15672537.705</v>
      </c>
      <c r="E225">
        <v>19105848.769000001</v>
      </c>
      <c r="F225">
        <v>20482688.530000001</v>
      </c>
      <c r="G225">
        <v>19551773.452</v>
      </c>
      <c r="H225">
        <v>22041885.443999998</v>
      </c>
      <c r="I225">
        <v>24731206.396000002</v>
      </c>
      <c r="J225">
        <v>24803604.059</v>
      </c>
      <c r="K225">
        <v>25726173.554000001</v>
      </c>
      <c r="L225">
        <v>25326589.313999999</v>
      </c>
      <c r="M225">
        <v>26989776.820999999</v>
      </c>
      <c r="N225">
        <v>26073076.368000001</v>
      </c>
      <c r="O225">
        <v>25150499.629000001</v>
      </c>
      <c r="P225">
        <v>26191252.120000001</v>
      </c>
      <c r="Q225">
        <v>24728020.848000001</v>
      </c>
    </row>
    <row r="226" spans="1:17" x14ac:dyDescent="0.35">
      <c r="A226" t="s">
        <v>256</v>
      </c>
      <c r="B226">
        <v>958098.35</v>
      </c>
      <c r="C226">
        <v>959909.5</v>
      </c>
      <c r="D226">
        <v>792115.38</v>
      </c>
      <c r="E226">
        <v>964548.66</v>
      </c>
      <c r="F226">
        <v>1002268.44</v>
      </c>
      <c r="G226">
        <v>1122612.5</v>
      </c>
      <c r="H226">
        <v>1250141.28</v>
      </c>
      <c r="I226">
        <v>1399224.22</v>
      </c>
      <c r="J226">
        <v>1293249.6000000001</v>
      </c>
      <c r="K226">
        <v>1119020.1399999999</v>
      </c>
      <c r="L226">
        <v>1158536.1000000001</v>
      </c>
      <c r="M226">
        <v>1318396.1200000001</v>
      </c>
      <c r="N226">
        <v>1372281.52</v>
      </c>
      <c r="O226">
        <v>1596804.02</v>
      </c>
      <c r="P226">
        <v>1655642.62</v>
      </c>
      <c r="Q226">
        <v>1461822.68</v>
      </c>
    </row>
    <row r="227" spans="1:17" x14ac:dyDescent="0.35">
      <c r="A227" t="s">
        <v>258</v>
      </c>
      <c r="B227">
        <v>17709243.863000002</v>
      </c>
      <c r="C227">
        <v>17832518.596000001</v>
      </c>
      <c r="D227">
        <v>17090279.059999999</v>
      </c>
      <c r="E227">
        <v>17988482.896000002</v>
      </c>
      <c r="F227">
        <v>17465666.488000002</v>
      </c>
      <c r="G227">
        <v>17087321.390999999</v>
      </c>
      <c r="H227">
        <v>17883009.206</v>
      </c>
      <c r="I227">
        <v>17623236.921999998</v>
      </c>
      <c r="J227">
        <v>17112011.015999999</v>
      </c>
      <c r="K227">
        <v>17048297.59</v>
      </c>
      <c r="L227">
        <v>17175626.929000001</v>
      </c>
      <c r="M227">
        <v>17969937.026999999</v>
      </c>
      <c r="N227">
        <v>18063813.004999999</v>
      </c>
      <c r="O227">
        <v>19675699.958999999</v>
      </c>
      <c r="P227">
        <v>19862845.204</v>
      </c>
      <c r="Q227">
        <v>19811923.941</v>
      </c>
    </row>
    <row r="228" spans="1:17" x14ac:dyDescent="0.35">
      <c r="A228" t="s">
        <v>184</v>
      </c>
    </row>
    <row r="229" spans="1:17" x14ac:dyDescent="0.35">
      <c r="A229" t="s">
        <v>250</v>
      </c>
      <c r="B229">
        <v>5664397.5599999996</v>
      </c>
      <c r="C229">
        <v>6785320.5599999996</v>
      </c>
      <c r="D229">
        <v>6845098.2697999999</v>
      </c>
      <c r="E229">
        <v>8020821.1167000001</v>
      </c>
      <c r="F229">
        <v>7313394.6579999998</v>
      </c>
      <c r="G229">
        <v>7215446.8770000003</v>
      </c>
      <c r="H229">
        <v>8066959.2413999997</v>
      </c>
      <c r="I229">
        <v>6946548.2356000002</v>
      </c>
      <c r="J229">
        <v>7543674.2542000003</v>
      </c>
      <c r="K229">
        <v>6849716.1327999998</v>
      </c>
      <c r="L229">
        <v>7304034.0395999998</v>
      </c>
      <c r="M229">
        <v>6982736.6491</v>
      </c>
      <c r="N229">
        <v>7996681.9565000003</v>
      </c>
      <c r="O229">
        <v>7647045.6436000001</v>
      </c>
      <c r="P229">
        <v>8311354.6381000001</v>
      </c>
      <c r="Q229">
        <v>8150412.4644999998</v>
      </c>
    </row>
    <row r="230" spans="1:17" x14ac:dyDescent="0.35">
      <c r="A230" t="s">
        <v>92</v>
      </c>
      <c r="B230">
        <v>3339376.9</v>
      </c>
      <c r="C230">
        <v>2957529.52</v>
      </c>
      <c r="D230">
        <v>3071561.0507999999</v>
      </c>
      <c r="E230">
        <v>2989991.97</v>
      </c>
      <c r="F230">
        <v>2811220.2</v>
      </c>
      <c r="G230">
        <v>2457091</v>
      </c>
      <c r="H230">
        <v>2895857.25</v>
      </c>
      <c r="I230">
        <v>2598846.25</v>
      </c>
      <c r="J230">
        <v>2385927.2200000002</v>
      </c>
      <c r="K230">
        <v>2171167.58</v>
      </c>
      <c r="L230">
        <v>1885694.4</v>
      </c>
      <c r="M230">
        <v>1710228.6</v>
      </c>
      <c r="N230">
        <v>1622423.76</v>
      </c>
      <c r="O230">
        <v>1632907.92</v>
      </c>
      <c r="P230">
        <v>1637151.73</v>
      </c>
      <c r="Q230">
        <v>1610936.33</v>
      </c>
    </row>
    <row r="231" spans="1:17" x14ac:dyDescent="0.35">
      <c r="A231" t="s">
        <v>87</v>
      </c>
      <c r="B231">
        <v>142746.54624</v>
      </c>
      <c r="C231">
        <v>137459.63712</v>
      </c>
      <c r="D231">
        <v>125564.0916</v>
      </c>
      <c r="E231">
        <v>102433.8642</v>
      </c>
      <c r="F231">
        <v>95164.364159999997</v>
      </c>
      <c r="G231">
        <v>97807.818719999996</v>
      </c>
      <c r="H231">
        <v>111025.09152</v>
      </c>
      <c r="I231">
        <v>102433.8642</v>
      </c>
      <c r="J231">
        <v>93181.773239999995</v>
      </c>
      <c r="K231">
        <v>93842.636880000005</v>
      </c>
      <c r="L231">
        <v>87234.000480000002</v>
      </c>
      <c r="M231">
        <v>87234.000480000002</v>
      </c>
      <c r="N231">
        <v>83268.818639999998</v>
      </c>
      <c r="O231">
        <v>94503.500520000001</v>
      </c>
      <c r="P231">
        <v>92520.909599999999</v>
      </c>
      <c r="Q231">
        <v>93181.773239999995</v>
      </c>
    </row>
    <row r="232" spans="1:17" x14ac:dyDescent="0.35">
      <c r="A232" t="s">
        <v>260</v>
      </c>
      <c r="B232">
        <v>23060131.872000001</v>
      </c>
      <c r="C232">
        <v>19803674.761999998</v>
      </c>
      <c r="D232">
        <v>17406957.787999999</v>
      </c>
      <c r="E232">
        <v>18722345.026999999</v>
      </c>
      <c r="F232">
        <v>18229074.811999999</v>
      </c>
      <c r="G232">
        <v>18638765</v>
      </c>
      <c r="H232">
        <v>19423096.432</v>
      </c>
      <c r="I232">
        <v>17745498.647</v>
      </c>
      <c r="J232">
        <v>19076999.452</v>
      </c>
      <c r="K232">
        <v>18728958.412999999</v>
      </c>
      <c r="L232">
        <v>21382771.335999999</v>
      </c>
      <c r="M232">
        <v>23873818.280999999</v>
      </c>
      <c r="N232">
        <v>23265291.278999999</v>
      </c>
      <c r="O232">
        <v>23895551.388</v>
      </c>
      <c r="P232">
        <v>27595873.690000001</v>
      </c>
      <c r="Q232">
        <v>22724734.441</v>
      </c>
    </row>
    <row r="233" spans="1:17" x14ac:dyDescent="0.35">
      <c r="A233" t="s">
        <v>259</v>
      </c>
      <c r="B233">
        <v>5076792.6275000004</v>
      </c>
      <c r="C233">
        <v>5803640.7432000004</v>
      </c>
      <c r="D233">
        <v>5326416.7969000004</v>
      </c>
      <c r="E233">
        <v>5521151.2045</v>
      </c>
      <c r="F233">
        <v>5131519.9738999996</v>
      </c>
      <c r="G233">
        <v>6077986.8309000004</v>
      </c>
      <c r="H233">
        <v>5945051.9819999998</v>
      </c>
      <c r="I233">
        <v>6555000.3815000001</v>
      </c>
      <c r="J233">
        <v>6256351.1497</v>
      </c>
      <c r="K233">
        <v>5896662.4568999996</v>
      </c>
      <c r="L233">
        <v>6908388.7430999996</v>
      </c>
      <c r="M233">
        <v>7492484.2569000004</v>
      </c>
      <c r="N233">
        <v>7489841.4676999999</v>
      </c>
      <c r="O233">
        <v>6537329.1672</v>
      </c>
      <c r="P233">
        <v>6911252.3657</v>
      </c>
      <c r="Q233">
        <v>6476455.5383000001</v>
      </c>
    </row>
    <row r="234" spans="1:17" x14ac:dyDescent="0.35">
      <c r="A234" t="s">
        <v>262</v>
      </c>
      <c r="B234">
        <v>7967874.8158999998</v>
      </c>
      <c r="C234">
        <v>7537391.4687999999</v>
      </c>
      <c r="D234">
        <v>6548614.9512</v>
      </c>
      <c r="E234">
        <v>6879612.9855000004</v>
      </c>
      <c r="F234">
        <v>6993545.8871999998</v>
      </c>
      <c r="G234">
        <v>6942902.8169</v>
      </c>
      <c r="H234">
        <v>6793242.2298999997</v>
      </c>
      <c r="I234">
        <v>6330807.3186999997</v>
      </c>
      <c r="J234">
        <v>5085786.3295</v>
      </c>
      <c r="K234">
        <v>5152321.3345999997</v>
      </c>
      <c r="L234">
        <v>5456520.1672999999</v>
      </c>
      <c r="M234">
        <v>5192832.7712000003</v>
      </c>
      <c r="N234">
        <v>6951335.5210999995</v>
      </c>
      <c r="O234">
        <v>6568209.8398000002</v>
      </c>
      <c r="P234">
        <v>7719802.0565999998</v>
      </c>
      <c r="Q234">
        <v>7331136.1672999999</v>
      </c>
    </row>
    <row r="235" spans="1:17" x14ac:dyDescent="0.35">
      <c r="A235" t="s">
        <v>88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  <c r="I235">
        <v>6330807.3186999997</v>
      </c>
      <c r="J235">
        <v>5085786.3295</v>
      </c>
      <c r="K235">
        <v>5152321.3345999997</v>
      </c>
      <c r="L235">
        <v>5456520.1672999999</v>
      </c>
      <c r="M235">
        <v>5192832.7712000003</v>
      </c>
      <c r="N235">
        <v>6951335.5210999995</v>
      </c>
      <c r="O235">
        <v>6568209.8398000002</v>
      </c>
      <c r="P235">
        <v>7719802.0565999998</v>
      </c>
      <c r="Q235">
        <v>7331136.1672999999</v>
      </c>
    </row>
    <row r="236" spans="1:17" x14ac:dyDescent="0.35">
      <c r="A236" t="s">
        <v>263</v>
      </c>
      <c r="B236">
        <v>264936561.08000001</v>
      </c>
      <c r="C236">
        <v>250934113.13</v>
      </c>
      <c r="D236">
        <v>232858676.65000001</v>
      </c>
      <c r="E236">
        <v>234907662.25999999</v>
      </c>
      <c r="F236">
        <v>235419908.66</v>
      </c>
      <c r="G236">
        <v>242039826.68000001</v>
      </c>
      <c r="H236">
        <v>225647711.43000001</v>
      </c>
      <c r="I236">
        <v>222403438.63</v>
      </c>
      <c r="J236">
        <v>224748108.63</v>
      </c>
      <c r="K236">
        <v>229827885.44999999</v>
      </c>
      <c r="L236">
        <v>237170083.87</v>
      </c>
      <c r="M236">
        <v>245796295.50999999</v>
      </c>
      <c r="N236">
        <v>278580518.31999999</v>
      </c>
      <c r="O236">
        <v>287715705.41000003</v>
      </c>
      <c r="P236">
        <v>359943446.29000002</v>
      </c>
      <c r="Q236">
        <v>307181337.69999999</v>
      </c>
    </row>
    <row r="237" spans="1:17" x14ac:dyDescent="0.35">
      <c r="A237" t="s">
        <v>89</v>
      </c>
      <c r="B237">
        <v>6799694.6577000003</v>
      </c>
      <c r="C237">
        <v>5969178.3891000003</v>
      </c>
      <c r="D237">
        <v>5132534.3008000003</v>
      </c>
      <c r="E237">
        <v>5262198.3251999998</v>
      </c>
      <c r="F237">
        <v>4116832.7760000001</v>
      </c>
      <c r="G237">
        <v>4690886.8114</v>
      </c>
      <c r="H237">
        <v>5257212.5539999995</v>
      </c>
      <c r="I237">
        <v>5310639.5109000001</v>
      </c>
      <c r="J237">
        <v>4456240.3035000004</v>
      </c>
      <c r="K237">
        <v>4189718.7541999999</v>
      </c>
      <c r="L237">
        <v>4616153.233</v>
      </c>
      <c r="M237">
        <v>3677997.3796999999</v>
      </c>
      <c r="N237">
        <v>3454119.2782999999</v>
      </c>
      <c r="O237">
        <v>4083110.1345000002</v>
      </c>
      <c r="P237">
        <v>4253683.926</v>
      </c>
      <c r="Q237">
        <v>3443458.4163000002</v>
      </c>
    </row>
    <row r="238" spans="1:17" x14ac:dyDescent="0.35">
      <c r="A238" t="s">
        <v>90</v>
      </c>
      <c r="B238">
        <v>24864428.07</v>
      </c>
      <c r="C238">
        <v>22992073.109999999</v>
      </c>
      <c r="D238">
        <v>19882876.239999998</v>
      </c>
      <c r="E238">
        <v>19793715.359999999</v>
      </c>
      <c r="F238">
        <v>18968977.219999999</v>
      </c>
      <c r="G238">
        <v>19816005.579999998</v>
      </c>
      <c r="H238">
        <v>20952806.800000001</v>
      </c>
      <c r="I238">
        <v>22490831.98</v>
      </c>
      <c r="J238">
        <v>24109572.719999999</v>
      </c>
      <c r="K238">
        <v>24232012.84</v>
      </c>
      <c r="L238">
        <v>26758731.68</v>
      </c>
      <c r="M238">
        <v>27373243.739999998</v>
      </c>
      <c r="N238">
        <v>26493826.800000001</v>
      </c>
      <c r="O238">
        <v>29665323.221999999</v>
      </c>
      <c r="P238">
        <v>34281172.240000002</v>
      </c>
      <c r="Q238">
        <v>30192701.420000002</v>
      </c>
    </row>
    <row r="239" spans="1:17" x14ac:dyDescent="0.35">
      <c r="A239" t="s">
        <v>265</v>
      </c>
      <c r="B239">
        <v>827854.46268999996</v>
      </c>
      <c r="C239">
        <v>797805.29888999998</v>
      </c>
      <c r="D239">
        <v>810049.89060000004</v>
      </c>
      <c r="E239">
        <v>829551.09166999999</v>
      </c>
      <c r="F239">
        <v>802549.42865000002</v>
      </c>
      <c r="G239">
        <v>790631.41669999994</v>
      </c>
      <c r="H239">
        <v>775713.84279999998</v>
      </c>
      <c r="I239">
        <v>689191.91417999996</v>
      </c>
      <c r="J239">
        <v>735307.71782999998</v>
      </c>
      <c r="K239">
        <v>747143.65694999998</v>
      </c>
      <c r="L239">
        <v>753061.62650999997</v>
      </c>
      <c r="M239">
        <v>744746.17734000005</v>
      </c>
      <c r="N239">
        <v>710894.07837</v>
      </c>
      <c r="O239">
        <v>697647.60485999996</v>
      </c>
      <c r="P239">
        <v>675089.47719999996</v>
      </c>
      <c r="Q239">
        <v>675089.47719999996</v>
      </c>
    </row>
    <row r="240" spans="1:17" x14ac:dyDescent="0.35">
      <c r="A240" t="s">
        <v>267</v>
      </c>
      <c r="B240">
        <v>6008345.2695000004</v>
      </c>
      <c r="C240">
        <v>5388007.7055000002</v>
      </c>
      <c r="D240">
        <v>4524966.1957</v>
      </c>
      <c r="E240">
        <v>5173740.5697999997</v>
      </c>
      <c r="F240">
        <v>4010177.8336999998</v>
      </c>
      <c r="G240">
        <v>4675437.7780999998</v>
      </c>
      <c r="H240">
        <v>5197281.5119000003</v>
      </c>
      <c r="I240">
        <v>6109332.7225000001</v>
      </c>
      <c r="J240">
        <v>6355458.1585999997</v>
      </c>
      <c r="K240">
        <v>5948690.0263999999</v>
      </c>
      <c r="L240">
        <v>6818656.5520000001</v>
      </c>
      <c r="M240">
        <v>6713651.0077999998</v>
      </c>
      <c r="N240">
        <v>7334240.5968000004</v>
      </c>
      <c r="O240">
        <v>8255722.1076999996</v>
      </c>
      <c r="P240">
        <v>6624323.7185000004</v>
      </c>
      <c r="Q240">
        <v>7813787.0974000003</v>
      </c>
    </row>
    <row r="241" spans="1:17" x14ac:dyDescent="0.35">
      <c r="A241" t="s">
        <v>268</v>
      </c>
      <c r="B241">
        <v>85940932.770999998</v>
      </c>
      <c r="C241">
        <v>80847169.277999997</v>
      </c>
      <c r="D241">
        <v>76079945.388999999</v>
      </c>
      <c r="E241">
        <v>83871755.062000006</v>
      </c>
      <c r="F241">
        <v>78633837.077000007</v>
      </c>
      <c r="G241">
        <v>80726683.092999995</v>
      </c>
      <c r="H241">
        <v>90041923.466000006</v>
      </c>
      <c r="I241">
        <v>92860796.204999998</v>
      </c>
      <c r="J241">
        <v>99668019.901999995</v>
      </c>
      <c r="K241">
        <v>100506921.98</v>
      </c>
      <c r="L241">
        <v>109283128.31999999</v>
      </c>
      <c r="M241">
        <v>109193145.69</v>
      </c>
      <c r="N241">
        <v>102687067.45</v>
      </c>
      <c r="O241">
        <v>113551897.62</v>
      </c>
      <c r="P241">
        <v>119451765.43000001</v>
      </c>
      <c r="Q241">
        <v>105774570.25</v>
      </c>
    </row>
    <row r="242" spans="1:17" x14ac:dyDescent="0.35">
      <c r="A242" t="s">
        <v>253</v>
      </c>
      <c r="B242">
        <v>1914385.5511</v>
      </c>
      <c r="C242">
        <v>1961506.4302999999</v>
      </c>
      <c r="D242">
        <v>1923211.2771000001</v>
      </c>
      <c r="E242">
        <v>1859104.2345</v>
      </c>
      <c r="F242">
        <v>2035596.4628000001</v>
      </c>
      <c r="G242">
        <v>1839567.0639</v>
      </c>
      <c r="H242">
        <v>1947360.3435</v>
      </c>
      <c r="I242">
        <v>2121245.8530000001</v>
      </c>
      <c r="J242">
        <v>2018881.6809</v>
      </c>
      <c r="K242">
        <v>1746123.7498000001</v>
      </c>
      <c r="L242">
        <v>1632605.9981</v>
      </c>
      <c r="M242">
        <v>1659567.4901999999</v>
      </c>
      <c r="N242">
        <v>1738034.0382000001</v>
      </c>
      <c r="O242">
        <v>1733649.8557</v>
      </c>
      <c r="P242">
        <v>1744164.5774000001</v>
      </c>
      <c r="Q242">
        <v>1679042.8230000001</v>
      </c>
    </row>
    <row r="243" spans="1:17" x14ac:dyDescent="0.35">
      <c r="A243" t="s">
        <v>264</v>
      </c>
      <c r="B243">
        <v>1187425.9878</v>
      </c>
      <c r="C243">
        <v>945915.61739999999</v>
      </c>
      <c r="D243">
        <v>823299.57247999997</v>
      </c>
      <c r="E243">
        <v>769838.56128000002</v>
      </c>
      <c r="F243">
        <v>756473.30848000001</v>
      </c>
      <c r="G243">
        <v>895471.93759999995</v>
      </c>
      <c r="H243">
        <v>1023778.3644</v>
      </c>
      <c r="I243">
        <v>1269699.0160000001</v>
      </c>
      <c r="J243">
        <v>1276381.6424</v>
      </c>
      <c r="K243">
        <v>1198863.1762000001</v>
      </c>
      <c r="L243">
        <v>1403351.544</v>
      </c>
      <c r="M243">
        <v>1603830.3359999999</v>
      </c>
      <c r="N243">
        <v>1534331.0214</v>
      </c>
      <c r="O243">
        <v>1810991.7544</v>
      </c>
      <c r="P243">
        <v>2211949.3383999998</v>
      </c>
      <c r="Q243">
        <v>1899202.4228999999</v>
      </c>
    </row>
    <row r="244" spans="1:17" x14ac:dyDescent="0.35">
      <c r="A244" t="s">
        <v>266</v>
      </c>
      <c r="B244">
        <v>4469524</v>
      </c>
      <c r="C244">
        <v>4450470</v>
      </c>
      <c r="D244">
        <v>4217155.97</v>
      </c>
      <c r="E244">
        <v>4643487.9000000004</v>
      </c>
      <c r="F244">
        <v>4287758.71</v>
      </c>
      <c r="G244">
        <v>4292338.5999999996</v>
      </c>
      <c r="H244">
        <v>4564005.5999999996</v>
      </c>
      <c r="I244">
        <v>5514840.0999999996</v>
      </c>
      <c r="J244">
        <v>5729457.0300000003</v>
      </c>
      <c r="K244">
        <v>5025839.5</v>
      </c>
      <c r="L244">
        <v>5873440.54</v>
      </c>
      <c r="M244">
        <v>5346406.5599999996</v>
      </c>
      <c r="N244">
        <v>6275507.7000000002</v>
      </c>
      <c r="O244">
        <v>5620934.4000000004</v>
      </c>
      <c r="P244">
        <v>5633646.6600000001</v>
      </c>
      <c r="Q244">
        <v>6268291.6500000004</v>
      </c>
    </row>
    <row r="245" spans="1:17" x14ac:dyDescent="0.35">
      <c r="A245" t="s">
        <v>270</v>
      </c>
      <c r="B245">
        <v>653723.19756</v>
      </c>
      <c r="C245">
        <v>625300.44984000002</v>
      </c>
      <c r="D245">
        <v>647407.03139999998</v>
      </c>
      <c r="E245">
        <v>495819.04356000002</v>
      </c>
      <c r="F245">
        <v>420025.04963999998</v>
      </c>
      <c r="G245">
        <v>435815.46503999998</v>
      </c>
      <c r="H245">
        <v>363179.55420000001</v>
      </c>
      <c r="I245">
        <v>432657.38196000003</v>
      </c>
      <c r="J245">
        <v>369495.72035999998</v>
      </c>
      <c r="K245">
        <v>341072.97263999999</v>
      </c>
      <c r="L245">
        <v>281069.39412000001</v>
      </c>
      <c r="M245">
        <v>407392.71732</v>
      </c>
      <c r="N245">
        <v>454763.96351999999</v>
      </c>
      <c r="O245">
        <v>536874.12360000005</v>
      </c>
      <c r="P245">
        <v>457922.0466</v>
      </c>
      <c r="Q245">
        <v>448447.79736000003</v>
      </c>
    </row>
    <row r="246" spans="1:17" x14ac:dyDescent="0.35">
      <c r="A246" t="s">
        <v>269</v>
      </c>
      <c r="B246">
        <v>227019066.22999999</v>
      </c>
      <c r="C246">
        <v>226305829.47</v>
      </c>
      <c r="D246">
        <v>221398507.44</v>
      </c>
      <c r="E246">
        <v>235831156.02000001</v>
      </c>
      <c r="F246">
        <v>203147919.84</v>
      </c>
      <c r="G246">
        <v>189980054.74000001</v>
      </c>
      <c r="H246">
        <v>187294824.28</v>
      </c>
      <c r="I246">
        <v>177686734.06</v>
      </c>
      <c r="J246">
        <v>179491873.72</v>
      </c>
      <c r="K246">
        <v>154611396.59999999</v>
      </c>
      <c r="L246">
        <v>158009910.34</v>
      </c>
      <c r="M246">
        <v>153520515.65000001</v>
      </c>
      <c r="N246">
        <v>176638800.46000001</v>
      </c>
      <c r="O246">
        <v>185659546.81</v>
      </c>
      <c r="P246">
        <v>217001395.72</v>
      </c>
      <c r="Q246">
        <v>203533211.65000001</v>
      </c>
    </row>
    <row r="247" spans="1:17" x14ac:dyDescent="0.35">
      <c r="A247" t="s">
        <v>271</v>
      </c>
      <c r="B247">
        <v>929061.30842000002</v>
      </c>
      <c r="C247">
        <v>930660.38124000002</v>
      </c>
      <c r="D247">
        <v>890683.56073999999</v>
      </c>
      <c r="E247">
        <v>962641.83764000004</v>
      </c>
      <c r="F247">
        <v>964240.91046000004</v>
      </c>
      <c r="G247">
        <v>962641.83764000004</v>
      </c>
      <c r="H247">
        <v>954646.47354000004</v>
      </c>
      <c r="I247">
        <v>1149733.3576</v>
      </c>
      <c r="J247">
        <v>1247276.7996</v>
      </c>
      <c r="K247">
        <v>1164125.013</v>
      </c>
      <c r="L247">
        <v>1343221.1688000001</v>
      </c>
      <c r="M247">
        <v>1395990.5719000001</v>
      </c>
      <c r="N247">
        <v>1328829.5134000001</v>
      </c>
      <c r="O247">
        <v>1340023.0231999999</v>
      </c>
      <c r="P247">
        <v>1589478.3831</v>
      </c>
      <c r="Q247">
        <v>1426372.9554000001</v>
      </c>
    </row>
    <row r="248" spans="1:17" x14ac:dyDescent="0.35">
      <c r="A248" t="s">
        <v>273</v>
      </c>
      <c r="B248">
        <v>1062569.8899999999</v>
      </c>
      <c r="C248">
        <v>1035979.667</v>
      </c>
      <c r="D248">
        <v>1007098.317</v>
      </c>
      <c r="E248">
        <v>998578.23770000006</v>
      </c>
      <c r="F248">
        <v>1042131.1365</v>
      </c>
      <c r="G248">
        <v>1124849.1562999999</v>
      </c>
      <c r="H248">
        <v>1087683.6507000001</v>
      </c>
      <c r="I248">
        <v>1002922.7897</v>
      </c>
      <c r="J248">
        <v>888016.61</v>
      </c>
      <c r="K248">
        <v>831288.66249999998</v>
      </c>
      <c r="L248">
        <v>811305.92050000001</v>
      </c>
      <c r="M248">
        <v>783595.94830000005</v>
      </c>
      <c r="N248">
        <v>711600.58250000002</v>
      </c>
      <c r="O248">
        <v>761237.40549999999</v>
      </c>
      <c r="P248">
        <v>763367.66749999998</v>
      </c>
      <c r="Q248">
        <v>734921.88800000004</v>
      </c>
    </row>
    <row r="249" spans="1:17" x14ac:dyDescent="0.35">
      <c r="A249" t="s">
        <v>274</v>
      </c>
      <c r="B249">
        <v>3022481.31</v>
      </c>
      <c r="C249">
        <v>2635056.75</v>
      </c>
      <c r="D249">
        <v>2374488.9</v>
      </c>
      <c r="E249">
        <v>2877158.48</v>
      </c>
      <c r="F249">
        <v>2888267.2</v>
      </c>
      <c r="G249">
        <v>3024553.22</v>
      </c>
      <c r="H249">
        <v>3745308.97</v>
      </c>
      <c r="I249">
        <v>4154174.05</v>
      </c>
      <c r="J249">
        <v>4334478.95</v>
      </c>
      <c r="K249">
        <v>3464428.9</v>
      </c>
      <c r="L249">
        <v>3456543.25</v>
      </c>
      <c r="M249">
        <v>3404006.56</v>
      </c>
      <c r="N249">
        <v>3743880.28</v>
      </c>
      <c r="O249">
        <v>3585799.48</v>
      </c>
      <c r="P249">
        <v>3866337.18</v>
      </c>
      <c r="Q249">
        <v>3207452.18</v>
      </c>
    </row>
    <row r="250" spans="1:17" x14ac:dyDescent="0.35">
      <c r="A250" t="s">
        <v>91</v>
      </c>
      <c r="B250">
        <v>958997.69039999996</v>
      </c>
      <c r="C250">
        <v>1194751.2893000001</v>
      </c>
      <c r="D250">
        <v>901539.66682000004</v>
      </c>
      <c r="E250">
        <v>1224657.8659999999</v>
      </c>
      <c r="F250">
        <v>1061104.2095999999</v>
      </c>
      <c r="G250">
        <v>1180783.6758000001</v>
      </c>
      <c r="H250">
        <v>1252588.0885999999</v>
      </c>
      <c r="I250">
        <v>1368272.9757000001</v>
      </c>
      <c r="J250">
        <v>1360331.6686</v>
      </c>
      <c r="K250">
        <v>1380277.8807999999</v>
      </c>
      <c r="L250">
        <v>1396234.8504999999</v>
      </c>
      <c r="M250">
        <v>1404213.3354</v>
      </c>
      <c r="N250">
        <v>1364320.9110999999</v>
      </c>
      <c r="O250">
        <v>1396234.8504999999</v>
      </c>
      <c r="Q250">
        <v>1396234.8504999999</v>
      </c>
    </row>
    <row r="251" spans="1:17" x14ac:dyDescent="0.35">
      <c r="A251" t="s">
        <v>275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  <c r="I251">
        <v>3484.1190732</v>
      </c>
      <c r="J251">
        <v>3133.6212458999998</v>
      </c>
      <c r="K251">
        <v>1411.2742272999999</v>
      </c>
      <c r="L251">
        <v>2004.6536818</v>
      </c>
      <c r="M25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2026-08-18T13:51:46Z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1471527508</vt:lpwstr>
  </property>
  <property fmtid="{D5CDD505-2E9C-101B-9397-08002B2CF9AE}" pid="3" name="EcoUpdateMessage">
    <vt:lpwstr>2026/08/18-13:38:28</vt:lpwstr>
  </property>
  <property fmtid="{D5CDD505-2E9C-101B-9397-08002B2CF9AE}" pid="4" name="EcoUpdateStatus">
    <vt:lpwstr>2026-08-17=BRA:St,ME,Fd,TP;USA:St,ME,TP;MEX:St,ME,Fd,TP;CHL:St,ME,Fd;PER:St,ME,Fd;SAU:St|2026-08-14=ARG:St,ME,Fd,TP;GBR:St,ME;COL:St,ME|2021-11-17=CHL:TP|2014-02-26=VEN:St|2002-11-08=JPN:St|2016-08-18=NNN:St|2026-08-13=COL:Fd|2026-04-15=PER:TP|2007-01-31=ESP:St|2003-01-29=CHN:St|2003-01-28=TWN:St|2003-01-30=HKG:St;KOR:St|2023-01-19=OTH:St|2025-06-24=PAN:St|2024-06-24=SAU:ME</vt:lpwstr>
  </property>
</Properties>
</file>