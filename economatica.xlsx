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gor.caliman\PyCharmMiscProject\completo\"/>
    </mc:Choice>
  </mc:AlternateContent>
  <xr:revisionPtr revIDLastSave="0" documentId="13_ncr:1_{4333DF66-3A65-458E-9D12-8B3C5AF620DF}" xr6:coauthVersionLast="47" xr6:coauthVersionMax="47" xr10:uidLastSave="{00000000-0000-0000-0000-000000000000}"/>
  <bookViews>
    <workbookView xWindow="-28920" yWindow="-105" windowWidth="29040" windowHeight="15720" xr2:uid="{6581AD37-79DE-40D7-9E38-91EA542A73F1}"/>
  </bookViews>
  <sheets>
    <sheet name="economatica" sheetId="3" r:id="rId1"/>
    <sheet name="marketcap" sheetId="5" r:id="rId2"/>
    <sheet name="liquidez" sheetId="6" r:id="rId3"/>
  </sheets>
  <definedNames>
    <definedName name="_ECO_RANGE_ID03ea79c47e1b4d36b3833f747dcaec16" localSheetId="0" hidden="1">economatica!$J$2:$J$251</definedName>
    <definedName name="_ECO_RANGE_ID0698863d636342cd8342eaa30468aaa2" localSheetId="0" hidden="1">economatica!$AC$2:$AC$251</definedName>
    <definedName name="_ECO_RANGE_ID15680872f8f144fab89486612fbd702c" localSheetId="0" hidden="1">economatica!$D$2:$D$251</definedName>
    <definedName name="_ECO_RANGE_ID157fb009d6ed42b0a934b94830522b5b" localSheetId="0" hidden="1">economatica!$I$2:$I$251</definedName>
    <definedName name="_ECO_RANGE_ID203544fc095e4e8fad90d8cadf36439f" localSheetId="0" hidden="1">economatica!$E$2:$E$251</definedName>
    <definedName name="_ECO_RANGE_ID49d9bb19b1af4e85a0738165decf7442" localSheetId="0" hidden="1">economatica!$H$2:$H$251</definedName>
    <definedName name="_ECO_RANGE_ID4b512b4fb0aa4543a7470576e624b1d5" localSheetId="0" hidden="1">economatica!$AB$2:$AB$251</definedName>
    <definedName name="_ECO_RANGE_ID647e2c62bea04b6c913795f436949fc2" localSheetId="0" hidden="1">economatica!$AG$2:$AG$251</definedName>
    <definedName name="_ECO_RANGE_ID6824cb57298f4b2bb533b2670ab7be9e" localSheetId="0" hidden="1">economatica!$AF$2:$AF$251</definedName>
    <definedName name="_ECO_RANGE_ID6842fe850e614d0c9f9d90da6cba9a5f" localSheetId="0" hidden="1">economatica!$F$2:$F$251</definedName>
    <definedName name="_ECO_RANGE_ID68e3b8bc3a434e32b3d34965faa97dff" localSheetId="0" hidden="1">economatica!$AE$2:$AE$251</definedName>
    <definedName name="_ECO_RANGE_ID8214c545beb441eb8a94b1fd54162a86" localSheetId="0" hidden="1">economatica!$G$2:$G$251</definedName>
    <definedName name="_ECO_RANGE_ID835e3e237dec41a1a4718ada74d87701" localSheetId="0" hidden="1">economatica!$AH$2:$AH$251</definedName>
    <definedName name="_ECO_RANGE_ID9152ad802a6c4dbaa9d9a7237dc68e3a" localSheetId="0" hidden="1">economatica!$AD$2:$AD$251</definedName>
    <definedName name="_ECO_RANGE_IDa08764a502be4c18bcb0e00efd1629f0" localSheetId="0" hidden="1">economatica!$AA$2:$AA$251</definedName>
    <definedName name="_ECO_RANGE_IDe2f545259e2b45218b8ef2ac2ded0112" localSheetId="0" hidden="1">economatica!$C$2:$C$251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" i="3" l="1" a="1"/>
  <c r="AG1" i="3" a="1"/>
  <c r="AF1" i="3" a="1"/>
  <c r="AE1" i="3" a="1"/>
  <c r="AD1" i="3" a="1"/>
  <c r="AC1" i="3" a="1"/>
  <c r="I1" i="3" a="1"/>
  <c r="H1" i="3" a="1"/>
  <c r="G1" i="3" a="1"/>
  <c r="F1" i="3" a="1"/>
  <c r="E1" i="3" a="1"/>
  <c r="D1" i="3" a="1"/>
  <c r="C1" i="3" a="1"/>
  <c r="J1" i="3" a="1"/>
  <c r="AA1" i="3" a="1"/>
  <c r="AB1" i="3" a="1"/>
  <c r="AH1" i="3" l="1"/>
  <c r="AG1" i="3"/>
  <c r="AF1" i="3"/>
  <c r="AE1" i="3"/>
  <c r="AD1" i="3"/>
  <c r="AC1" i="3"/>
  <c r="I1" i="3"/>
  <c r="H1" i="3"/>
  <c r="G1" i="3"/>
  <c r="F1" i="3"/>
  <c r="E1" i="3"/>
  <c r="D1" i="3"/>
  <c r="C1" i="3"/>
  <c r="AB1" i="3"/>
  <c r="AA1" i="3"/>
  <c r="J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<sst xmlns="http://schemas.openxmlformats.org/spreadsheetml/2006/main" count="1008" uniqueCount="510">
  <si>
    <t>ABCB4&lt;XBSP&gt;</t>
  </si>
  <si>
    <t>ALOS3&lt;XBSP&gt;</t>
  </si>
  <si>
    <t>ANIM3&lt;XBSP&gt;</t>
  </si>
  <si>
    <t>AURE3&lt;XBSP&gt;</t>
  </si>
  <si>
    <t>BRSR6&lt;XBSP&gt;</t>
  </si>
  <si>
    <t>BBSE3&lt;XBSP&gt;</t>
  </si>
  <si>
    <t>BMOB3&lt;XBSP&gt;</t>
  </si>
  <si>
    <t>BRBI11&lt;XBSP&gt;</t>
  </si>
  <si>
    <t>BBDC4&lt;XBSP&gt;</t>
  </si>
  <si>
    <t>BBAS3&lt;XBSP&gt;</t>
  </si>
  <si>
    <t>BRAV3&lt;XBSP&gt;</t>
  </si>
  <si>
    <t>BPAC11&lt;XBSP&gt;</t>
  </si>
  <si>
    <t>COGN3&lt;XBSP&gt;</t>
  </si>
  <si>
    <t>CSAN3&lt;XBSP&gt;</t>
  </si>
  <si>
    <t>CVCB3&lt;XBSP&gt;</t>
  </si>
  <si>
    <t>ENEV3&lt;XBSP&gt;</t>
  </si>
  <si>
    <t>EQTL3&lt;XBSP&gt;</t>
  </si>
  <si>
    <t>EVEN3&lt;XBSP&gt;</t>
  </si>
  <si>
    <t>EZTC3&lt;XBSP&gt;</t>
  </si>
  <si>
    <t>HBSA3&lt;XBSP&gt;</t>
  </si>
  <si>
    <t>MYPK3&lt;XBSP&gt;</t>
  </si>
  <si>
    <t>ITSA4&lt;XBSP&gt;</t>
  </si>
  <si>
    <t>JBSS3&lt;XBSP&gt;</t>
  </si>
  <si>
    <t>JSLG3&lt;XBSP&gt;</t>
  </si>
  <si>
    <t>LOGG3&lt;XBSP&gt;</t>
  </si>
  <si>
    <t>LREN3&lt;XBSP&gt;</t>
  </si>
  <si>
    <t>MGLU3&lt;XBSP&gt;</t>
  </si>
  <si>
    <t>MELK3&lt;XBSP&gt;</t>
  </si>
  <si>
    <t>MOVI3&lt;XBSP&gt;</t>
  </si>
  <si>
    <t>MRVE3&lt;XBSP&gt;</t>
  </si>
  <si>
    <t>NEOE3&lt;XBSP&gt;</t>
  </si>
  <si>
    <t>PCAR3&lt;XBSP&gt;</t>
  </si>
  <si>
    <t>PETR4&lt;XBSP&gt;</t>
  </si>
  <si>
    <t>PRIO3&lt;XBSP&gt;</t>
  </si>
  <si>
    <t>RAIZ4&lt;XBSP&gt;</t>
  </si>
  <si>
    <t>SBSP3&lt;XBSP&gt;</t>
  </si>
  <si>
    <t>SAPR11&lt;XBSP&gt;</t>
  </si>
  <si>
    <t>SIMH3&lt;XBSP&gt;</t>
  </si>
  <si>
    <t>SUZB3&lt;XBSP&gt;</t>
  </si>
  <si>
    <t>TAEE11&lt;XBSP&gt;</t>
  </si>
  <si>
    <t>TASA4&lt;XBSP&gt;</t>
  </si>
  <si>
    <t>TUPY3&lt;XBSP&gt;</t>
  </si>
  <si>
    <t>USIM3&lt;XBSP&gt;</t>
  </si>
  <si>
    <t>VALE3&lt;XBSP&gt;</t>
  </si>
  <si>
    <t>VAMO3&lt;XBSP&gt;</t>
  </si>
  <si>
    <t>YDUQ3&lt;XBSP&gt;</t>
  </si>
  <si>
    <t>ABCB4</t>
  </si>
  <si>
    <t>ALOS3</t>
  </si>
  <si>
    <t>ANIM3</t>
  </si>
  <si>
    <t>AURE3</t>
  </si>
  <si>
    <t>BRSR6</t>
  </si>
  <si>
    <t>BBSE3</t>
  </si>
  <si>
    <t>BMOB3</t>
  </si>
  <si>
    <t>BRBI11</t>
  </si>
  <si>
    <t>BBDC4</t>
  </si>
  <si>
    <t>BBAS3</t>
  </si>
  <si>
    <t>BRAV3</t>
  </si>
  <si>
    <t>BPAC11</t>
  </si>
  <si>
    <t>COGN3</t>
  </si>
  <si>
    <t>CSAN3</t>
  </si>
  <si>
    <t>CVCB3</t>
  </si>
  <si>
    <t>ENEV3</t>
  </si>
  <si>
    <t>EQTL3</t>
  </si>
  <si>
    <t>EVEN3</t>
  </si>
  <si>
    <t>EZTC3</t>
  </si>
  <si>
    <t>HBSA3</t>
  </si>
  <si>
    <t>MYPK3</t>
  </si>
  <si>
    <t>ITSA4</t>
  </si>
  <si>
    <t>JBSS3</t>
  </si>
  <si>
    <t>JSLG3</t>
  </si>
  <si>
    <t>LOGG3</t>
  </si>
  <si>
    <t>LREN3</t>
  </si>
  <si>
    <t>MGLU3</t>
  </si>
  <si>
    <t>MELK3</t>
  </si>
  <si>
    <t>MOVI3</t>
  </si>
  <si>
    <t>MRVE3</t>
  </si>
  <si>
    <t>NEOE3</t>
  </si>
  <si>
    <t>PCAR3</t>
  </si>
  <si>
    <t>PETR4</t>
  </si>
  <si>
    <t>PRIO3</t>
  </si>
  <si>
    <t>RAIZ4</t>
  </si>
  <si>
    <t>SBSP3</t>
  </si>
  <si>
    <t>SAPR11</t>
  </si>
  <si>
    <t>SIMH3</t>
  </si>
  <si>
    <t>SUZB3</t>
  </si>
  <si>
    <t>TAEE11</t>
  </si>
  <si>
    <t>TASA4</t>
  </si>
  <si>
    <t>TUPY3</t>
  </si>
  <si>
    <t>USIM3</t>
  </si>
  <si>
    <t>VALE3</t>
  </si>
  <si>
    <t>VAMO3</t>
  </si>
  <si>
    <t>YDUQ3</t>
  </si>
  <si>
    <t>TTEN3</t>
  </si>
  <si>
    <t>AERI3</t>
  </si>
  <si>
    <t>ALPA4</t>
  </si>
  <si>
    <t>GOGL34</t>
  </si>
  <si>
    <t>AVLL3</t>
  </si>
  <si>
    <t>ALUP11</t>
  </si>
  <si>
    <t>BAZA3</t>
  </si>
  <si>
    <t>ABEV3</t>
  </si>
  <si>
    <t>AMBP3</t>
  </si>
  <si>
    <t>AMER3</t>
  </si>
  <si>
    <t>ARML3</t>
  </si>
  <si>
    <t>ASAI3</t>
  </si>
  <si>
    <t>AMOB3</t>
  </si>
  <si>
    <t>AZEV4</t>
  </si>
  <si>
    <t>AZUL4</t>
  </si>
  <si>
    <t>AZZA3</t>
  </si>
  <si>
    <t>BPAN4</t>
  </si>
  <si>
    <t>BLAU3</t>
  </si>
  <si>
    <t>SOJA3</t>
  </si>
  <si>
    <t>BBDC3</t>
  </si>
  <si>
    <t>BRAP4</t>
  </si>
  <si>
    <t>AGRO3</t>
  </si>
  <si>
    <t>BRKM3</t>
  </si>
  <si>
    <t>BRKM5</t>
  </si>
  <si>
    <t>BRFS3</t>
  </si>
  <si>
    <t>BRST3</t>
  </si>
  <si>
    <t>BPAC5</t>
  </si>
  <si>
    <t>CXSE3</t>
  </si>
  <si>
    <t>CAMB3</t>
  </si>
  <si>
    <t>CAML3</t>
  </si>
  <si>
    <t>BHIA3</t>
  </si>
  <si>
    <t>CBAV3</t>
  </si>
  <si>
    <t>CEAB3</t>
  </si>
  <si>
    <t>CEBR3</t>
  </si>
  <si>
    <t>CEBR5</t>
  </si>
  <si>
    <t>CEBR6</t>
  </si>
  <si>
    <t>CLSC3</t>
  </si>
  <si>
    <t>CLSC4</t>
  </si>
  <si>
    <t>CMIG4</t>
  </si>
  <si>
    <t>COCE3</t>
  </si>
  <si>
    <t>COCE5</t>
  </si>
  <si>
    <t>PASS6</t>
  </si>
  <si>
    <t>CSMG3</t>
  </si>
  <si>
    <t>CPLE3</t>
  </si>
  <si>
    <t>CPLE6</t>
  </si>
  <si>
    <t>CTNM4</t>
  </si>
  <si>
    <t>CPFE3</t>
  </si>
  <si>
    <t>CRPG5</t>
  </si>
  <si>
    <t>CRPG6</t>
  </si>
  <si>
    <t>CMIN3</t>
  </si>
  <si>
    <t>CSUD3</t>
  </si>
  <si>
    <t>CURY3</t>
  </si>
  <si>
    <t>CYRE3</t>
  </si>
  <si>
    <t>DMVF3</t>
  </si>
  <si>
    <t>DASA3</t>
  </si>
  <si>
    <t>DESK3</t>
  </si>
  <si>
    <t>DXCO3</t>
  </si>
  <si>
    <t>DEXP3</t>
  </si>
  <si>
    <t>PNVL3</t>
  </si>
  <si>
    <t>DIRR3</t>
  </si>
  <si>
    <t>ECOR3</t>
  </si>
  <si>
    <t>ELET3</t>
  </si>
  <si>
    <t>ELET6</t>
  </si>
  <si>
    <t>EMAE4</t>
  </si>
  <si>
    <t>EMBR3</t>
  </si>
  <si>
    <t>ENGI3</t>
  </si>
  <si>
    <t>ENGI4</t>
  </si>
  <si>
    <t>ENGI11</t>
  </si>
  <si>
    <t>EGIE3</t>
  </si>
  <si>
    <t>ENJU3</t>
  </si>
  <si>
    <t>EQPA3</t>
  </si>
  <si>
    <t>EQPA5</t>
  </si>
  <si>
    <t>EUCA4</t>
  </si>
  <si>
    <t>FESA3</t>
  </si>
  <si>
    <t>FESA4</t>
  </si>
  <si>
    <t>FIEI3</t>
  </si>
  <si>
    <t>FLRY3</t>
  </si>
  <si>
    <t>FRAS3</t>
  </si>
  <si>
    <t>GFSA3</t>
  </si>
  <si>
    <t>GEPA4</t>
  </si>
  <si>
    <t>GGBR4</t>
  </si>
  <si>
    <t>GOAU4</t>
  </si>
  <si>
    <t>GGPS3</t>
  </si>
  <si>
    <t>CGRA4</t>
  </si>
  <si>
    <t>GRND3</t>
  </si>
  <si>
    <t>GMAT3</t>
  </si>
  <si>
    <t>SBFG3</t>
  </si>
  <si>
    <t>GUAR3</t>
  </si>
  <si>
    <t>HAPV3</t>
  </si>
  <si>
    <t>HBRE3</t>
  </si>
  <si>
    <t>HYPE3</t>
  </si>
  <si>
    <t>IGTI11</t>
  </si>
  <si>
    <t>INTB3</t>
  </si>
  <si>
    <t>RANI3</t>
  </si>
  <si>
    <t>IRBR3</t>
  </si>
  <si>
    <t>ISAE4</t>
  </si>
  <si>
    <t>ITUB3</t>
  </si>
  <si>
    <t>ITUB4</t>
  </si>
  <si>
    <t>JALL3</t>
  </si>
  <si>
    <t>JHSF3</t>
  </si>
  <si>
    <t>KEPL3</t>
  </si>
  <si>
    <t>KLBN11</t>
  </si>
  <si>
    <t>LAVV3</t>
  </si>
  <si>
    <t>RENT3</t>
  </si>
  <si>
    <t>LOGN3</t>
  </si>
  <si>
    <t>LPSB3</t>
  </si>
  <si>
    <t>LWSA3</t>
  </si>
  <si>
    <t>MDIA3</t>
  </si>
  <si>
    <t>MGEL4</t>
  </si>
  <si>
    <t>POMO3</t>
  </si>
  <si>
    <t>POMO4</t>
  </si>
  <si>
    <t>MRFG3</t>
  </si>
  <si>
    <t>MATD3</t>
  </si>
  <si>
    <t>CASH3</t>
  </si>
  <si>
    <t>MERC4</t>
  </si>
  <si>
    <t>BMEB4</t>
  </si>
  <si>
    <t>LEVE3</t>
  </si>
  <si>
    <t>MILS3</t>
  </si>
  <si>
    <t>BEEF3</t>
  </si>
  <si>
    <t>MTRE3</t>
  </si>
  <si>
    <t>MOTV3</t>
  </si>
  <si>
    <t>MDNE3</t>
  </si>
  <si>
    <t>MLAS3</t>
  </si>
  <si>
    <t>MULT3</t>
  </si>
  <si>
    <t>NTCO3</t>
  </si>
  <si>
    <t>OPCT3</t>
  </si>
  <si>
    <t>ODPV3</t>
  </si>
  <si>
    <t>OIBR3</t>
  </si>
  <si>
    <t>ONCO3</t>
  </si>
  <si>
    <t>ORVR3</t>
  </si>
  <si>
    <t>OFSA3</t>
  </si>
  <si>
    <t>PGMN3</t>
  </si>
  <si>
    <t>PETR3</t>
  </si>
  <si>
    <t>RECV3</t>
  </si>
  <si>
    <t>PTNT4</t>
  </si>
  <si>
    <t>PETZ3</t>
  </si>
  <si>
    <t>PLPL3</t>
  </si>
  <si>
    <t>PSSA3</t>
  </si>
  <si>
    <t>PTBL3</t>
  </si>
  <si>
    <t>POSI3</t>
  </si>
  <si>
    <t>PRNR3</t>
  </si>
  <si>
    <t>PFRM3</t>
  </si>
  <si>
    <t>QUAL3</t>
  </si>
  <si>
    <t>LJQQ3</t>
  </si>
  <si>
    <t>RADL3</t>
  </si>
  <si>
    <t>RAPT3</t>
  </si>
  <si>
    <t>RAPT4</t>
  </si>
  <si>
    <t>RDOR3</t>
  </si>
  <si>
    <t>RSUL4</t>
  </si>
  <si>
    <t>ROMI3</t>
  </si>
  <si>
    <t>RAIL3</t>
  </si>
  <si>
    <t>SAPR4</t>
  </si>
  <si>
    <t>SANB11</t>
  </si>
  <si>
    <t>STBP3</t>
  </si>
  <si>
    <t>SCAR3</t>
  </si>
  <si>
    <t>SMTO3</t>
  </si>
  <si>
    <t>SHUL4</t>
  </si>
  <si>
    <t>SEQL3</t>
  </si>
  <si>
    <t>SEER3</t>
  </si>
  <si>
    <t>SRNA3</t>
  </si>
  <si>
    <t>CSNA3</t>
  </si>
  <si>
    <t>SLCE3</t>
  </si>
  <si>
    <t>SMFT3</t>
  </si>
  <si>
    <t>SGPS3</t>
  </si>
  <si>
    <t>TSMC34</t>
  </si>
  <si>
    <t>TCSA3</t>
  </si>
  <si>
    <t>TGMA3</t>
  </si>
  <si>
    <t>VIVT3</t>
  </si>
  <si>
    <t>TEND3</t>
  </si>
  <si>
    <t>TIMS3</t>
  </si>
  <si>
    <t>TOTS3</t>
  </si>
  <si>
    <t>TFCO4</t>
  </si>
  <si>
    <t>TRIS3</t>
  </si>
  <si>
    <t>UGPA3</t>
  </si>
  <si>
    <t>UCAS3</t>
  </si>
  <si>
    <t>FIQE3</t>
  </si>
  <si>
    <t>UNIP6</t>
  </si>
  <si>
    <t>USIM5</t>
  </si>
  <si>
    <t>VLID3</t>
  </si>
  <si>
    <t>VBBR3</t>
  </si>
  <si>
    <t>VTRU3</t>
  </si>
  <si>
    <t>VITT3</t>
  </si>
  <si>
    <t>VIVA3</t>
  </si>
  <si>
    <t>VVEO3</t>
  </si>
  <si>
    <t>VULC3</t>
  </si>
  <si>
    <t>LVTC3</t>
  </si>
  <si>
    <t>WEGE3</t>
  </si>
  <si>
    <t>PORT3</t>
  </si>
  <si>
    <t>WIZC3</t>
  </si>
  <si>
    <t>WLMM4</t>
  </si>
  <si>
    <t>ZAMP3</t>
  </si>
  <si>
    <t>TTEN3&lt;XBSP&gt;</t>
  </si>
  <si>
    <t>AERI3&lt;XBSP&gt;</t>
  </si>
  <si>
    <t>ALPA4&lt;XBSP&gt;</t>
  </si>
  <si>
    <t>GOGL34&lt;XBSP&gt;</t>
  </si>
  <si>
    <t>AVLL3&lt;XBSP&gt;</t>
  </si>
  <si>
    <t>ALUP11&lt;XBSP&gt;</t>
  </si>
  <si>
    <t>BAZA3&lt;XBSP&gt;</t>
  </si>
  <si>
    <t>ABEV3&lt;XBSP&gt;</t>
  </si>
  <si>
    <t>AMBP3&lt;XBSP&gt;</t>
  </si>
  <si>
    <t>AMER3&lt;XBSP&gt;</t>
  </si>
  <si>
    <t>ARML3&lt;XBSP&gt;</t>
  </si>
  <si>
    <t>ASAI3&lt;XBSP&gt;</t>
  </si>
  <si>
    <t>AMOB3&lt;XBSP&gt;</t>
  </si>
  <si>
    <t>AZEV4&lt;XBSP&gt;</t>
  </si>
  <si>
    <t>AZZA3&lt;XBSP&gt;</t>
  </si>
  <si>
    <t>BPAN4&lt;XBSP&gt;</t>
  </si>
  <si>
    <t>BLAU3&lt;XBSP&gt;</t>
  </si>
  <si>
    <t>SOJA3&lt;XBSP&gt;</t>
  </si>
  <si>
    <t>BBDC3&lt;XBSP&gt;</t>
  </si>
  <si>
    <t>BRAP4&lt;XBSP&gt;</t>
  </si>
  <si>
    <t>AGRO3&lt;XBSP&gt;</t>
  </si>
  <si>
    <t>BRKM3&lt;XBSP&gt;</t>
  </si>
  <si>
    <t>BRKM5&lt;XBSP&gt;</t>
  </si>
  <si>
    <t>BRFS3&lt;XBSP&gt;</t>
  </si>
  <si>
    <t>BRST3&lt;XBSP&gt;</t>
  </si>
  <si>
    <t>BPAC5&lt;XBSP&gt;</t>
  </si>
  <si>
    <t>CXSE3&lt;XBSP&gt;</t>
  </si>
  <si>
    <t>CAMB3&lt;XBSP&gt;</t>
  </si>
  <si>
    <t>CAML3&lt;XBSP&gt;</t>
  </si>
  <si>
    <t>BHIA3&lt;XBSP&gt;</t>
  </si>
  <si>
    <t>CBAV3&lt;XBSP&gt;</t>
  </si>
  <si>
    <t>CEAB3&lt;XBSP&gt;</t>
  </si>
  <si>
    <t>CEBR3&lt;XBSP&gt;</t>
  </si>
  <si>
    <t>CEBR5&lt;XBSP&gt;</t>
  </si>
  <si>
    <t>CEBR6&lt;XBSP&gt;</t>
  </si>
  <si>
    <t>CLSC3&lt;XBSP&gt;</t>
  </si>
  <si>
    <t>CLSC4&lt;XBSP&gt;</t>
  </si>
  <si>
    <t>CMIG4&lt;XBSP&gt;</t>
  </si>
  <si>
    <t>COCE3&lt;XBSP&gt;</t>
  </si>
  <si>
    <t>COCE5&lt;XBSP&gt;</t>
  </si>
  <si>
    <t>PASS6&lt;XBSP&gt;</t>
  </si>
  <si>
    <t>CSMG3&lt;XBSP&gt;</t>
  </si>
  <si>
    <t>CPLE3&lt;XBSP&gt;</t>
  </si>
  <si>
    <t>CPLE6&lt;XBSP&gt;</t>
  </si>
  <si>
    <t>CTNM4&lt;XBSP&gt;</t>
  </si>
  <si>
    <t>CPFE3&lt;XBSP&gt;</t>
  </si>
  <si>
    <t>CRPG5&lt;XBSP&gt;</t>
  </si>
  <si>
    <t>CRPG6&lt;XBSP&gt;</t>
  </si>
  <si>
    <t>CMIN3&lt;XBSP&gt;</t>
  </si>
  <si>
    <t>CSUD3&lt;XBSP&gt;</t>
  </si>
  <si>
    <t>CURY3&lt;XBSP&gt;</t>
  </si>
  <si>
    <t>CYRE3&lt;XBSP&gt;</t>
  </si>
  <si>
    <t>DMVF3&lt;XBSP&gt;</t>
  </si>
  <si>
    <t>DASA3&lt;XBSP&gt;</t>
  </si>
  <si>
    <t>DESK3&lt;XBSP&gt;</t>
  </si>
  <si>
    <t>DXCO3&lt;XBSP&gt;</t>
  </si>
  <si>
    <t>DEXP3&lt;XBSP&gt;</t>
  </si>
  <si>
    <t>PNVL3&lt;XBSP&gt;</t>
  </si>
  <si>
    <t>DIRR3&lt;XBSP&gt;</t>
  </si>
  <si>
    <t>ECOR3&lt;XBSP&gt;</t>
  </si>
  <si>
    <t>EMAE4&lt;XBSP&gt;</t>
  </si>
  <si>
    <t>ENGI3&lt;XBSP&gt;</t>
  </si>
  <si>
    <t>ENGI4&lt;XBSP&gt;</t>
  </si>
  <si>
    <t>ENGI11&lt;XBSP&gt;</t>
  </si>
  <si>
    <t>EGIE3&lt;XBSP&gt;</t>
  </si>
  <si>
    <t>ENJU3&lt;XBSP&gt;</t>
  </si>
  <si>
    <t>EQPA3&lt;XBSP&gt;</t>
  </si>
  <si>
    <t>EQPA5&lt;XBSP&gt;</t>
  </si>
  <si>
    <t>EUCA4&lt;XBSP&gt;</t>
  </si>
  <si>
    <t>FESA3&lt;XBSP&gt;</t>
  </si>
  <si>
    <t>FESA4&lt;XBSP&gt;</t>
  </si>
  <si>
    <t>FIEI3&lt;XBSP&gt;</t>
  </si>
  <si>
    <t>FLRY3&lt;XBSP&gt;</t>
  </si>
  <si>
    <t>FRAS3&lt;XBSP&gt;</t>
  </si>
  <si>
    <t>GFSA3&lt;XBSP&gt;</t>
  </si>
  <si>
    <t>GEPA4&lt;XBSP&gt;</t>
  </si>
  <si>
    <t>GGBR4&lt;XBSP&gt;</t>
  </si>
  <si>
    <t>GOAU4&lt;XBSP&gt;</t>
  </si>
  <si>
    <t>GGPS3&lt;XBSP&gt;</t>
  </si>
  <si>
    <t>CGRA4&lt;XBSP&gt;</t>
  </si>
  <si>
    <t>GRND3&lt;XBSP&gt;</t>
  </si>
  <si>
    <t>GMAT3&lt;XBSP&gt;</t>
  </si>
  <si>
    <t>SBFG3&lt;XBSP&gt;</t>
  </si>
  <si>
    <t>GUAR3&lt;XBSP&gt;</t>
  </si>
  <si>
    <t>HAPV3&lt;XBSP&gt;</t>
  </si>
  <si>
    <t>HBRE3&lt;XBSP&gt;</t>
  </si>
  <si>
    <t>HYPE3&lt;XBSP&gt;</t>
  </si>
  <si>
    <t>IGTI11&lt;XBSP&gt;</t>
  </si>
  <si>
    <t>INTB3&lt;XBSP&gt;</t>
  </si>
  <si>
    <t>RANI3&lt;XBSP&gt;</t>
  </si>
  <si>
    <t>IRBR3&lt;XBSP&gt;</t>
  </si>
  <si>
    <t>ISAE4&lt;XBSP&gt;</t>
  </si>
  <si>
    <t>ITUB3&lt;XBSP&gt;</t>
  </si>
  <si>
    <t>ITUB4&lt;XBSP&gt;</t>
  </si>
  <si>
    <t>JALL3&lt;XBSP&gt;</t>
  </si>
  <si>
    <t>JHSF3&lt;XBSP&gt;</t>
  </si>
  <si>
    <t>KEPL3&lt;XBSP&gt;</t>
  </si>
  <si>
    <t>KLBN11&lt;XBSP&gt;</t>
  </si>
  <si>
    <t>LAVV3&lt;XBSP&gt;</t>
  </si>
  <si>
    <t>RENT3&lt;XBSP&gt;</t>
  </si>
  <si>
    <t>LOGN3&lt;XBSP&gt;</t>
  </si>
  <si>
    <t>LPSB3&lt;XBSP&gt;</t>
  </si>
  <si>
    <t>LWSA3&lt;XBSP&gt;</t>
  </si>
  <si>
    <t>MDIA3&lt;XBSP&gt;</t>
  </si>
  <si>
    <t>MGEL4&lt;XBSP&gt;</t>
  </si>
  <si>
    <t>POMO3&lt;XBSP&gt;</t>
  </si>
  <si>
    <t>POMO4&lt;XBSP&gt;</t>
  </si>
  <si>
    <t>MATD3&lt;XBSP&gt;</t>
  </si>
  <si>
    <t>CASH3&lt;XBSP&gt;</t>
  </si>
  <si>
    <t>MERC4&lt;XBSP&gt;</t>
  </si>
  <si>
    <t>BMEB4&lt;XBSP&gt;</t>
  </si>
  <si>
    <t>LEVE3&lt;XBSP&gt;</t>
  </si>
  <si>
    <t>MILS3&lt;XBSP&gt;</t>
  </si>
  <si>
    <t>BEEF3&lt;XBSP&gt;</t>
  </si>
  <si>
    <t>MTRE3&lt;XBSP&gt;</t>
  </si>
  <si>
    <t>MOTV3&lt;XBSP&gt;</t>
  </si>
  <si>
    <t>MDNE3&lt;XBSP&gt;</t>
  </si>
  <si>
    <t>MLAS3&lt;XBSP&gt;</t>
  </si>
  <si>
    <t>MULT3&lt;XBSP&gt;</t>
  </si>
  <si>
    <t>OPCT3&lt;XBSP&gt;</t>
  </si>
  <si>
    <t>ODPV3&lt;XBSP&gt;</t>
  </si>
  <si>
    <t>OIBR3&lt;XBSP&gt;</t>
  </si>
  <si>
    <t>ONCO3&lt;XBSP&gt;</t>
  </si>
  <si>
    <t>ORVR3&lt;XBSP&gt;</t>
  </si>
  <si>
    <t>OFSA3&lt;XBSP&gt;</t>
  </si>
  <si>
    <t>PGMN3&lt;XBSP&gt;</t>
  </si>
  <si>
    <t>PETR3&lt;XBSP&gt;</t>
  </si>
  <si>
    <t>RECV3&lt;XBSP&gt;</t>
  </si>
  <si>
    <t>PTNT4&lt;XBSP&gt;</t>
  </si>
  <si>
    <t>PETZ3&lt;XBSP&gt;</t>
  </si>
  <si>
    <t>PLPL3&lt;XBSP&gt;</t>
  </si>
  <si>
    <t>PSSA3&lt;XBSP&gt;</t>
  </si>
  <si>
    <t>PTBL3&lt;XBSP&gt;</t>
  </si>
  <si>
    <t>POSI3&lt;XBSP&gt;</t>
  </si>
  <si>
    <t>PRNR3&lt;XBSP&gt;</t>
  </si>
  <si>
    <t>PFRM3&lt;XBSP&gt;</t>
  </si>
  <si>
    <t>QUAL3&lt;XBSP&gt;</t>
  </si>
  <si>
    <t>LJQQ3&lt;XBSP&gt;</t>
  </si>
  <si>
    <t>RADL3&lt;XBSP&gt;</t>
  </si>
  <si>
    <t>RAPT3&lt;XBSP&gt;</t>
  </si>
  <si>
    <t>RAPT4&lt;XBSP&gt;</t>
  </si>
  <si>
    <t>RDOR3&lt;XBSP&gt;</t>
  </si>
  <si>
    <t>RSUL4&lt;XBSP&gt;</t>
  </si>
  <si>
    <t>ROMI3&lt;XBSP&gt;</t>
  </si>
  <si>
    <t>RAIL3&lt;XBSP&gt;</t>
  </si>
  <si>
    <t>SAPR4&lt;XBSP&gt;</t>
  </si>
  <si>
    <t>SANB11&lt;XBSP&gt;</t>
  </si>
  <si>
    <t>STBP3&lt;XBSP&gt;</t>
  </si>
  <si>
    <t>SCAR3&lt;XBSP&gt;</t>
  </si>
  <si>
    <t>SMTO3&lt;XBSP&gt;</t>
  </si>
  <si>
    <t>SHUL4&lt;XBSP&gt;</t>
  </si>
  <si>
    <t>SEQL3&lt;XBSP&gt;</t>
  </si>
  <si>
    <t>SEER3&lt;XBSP&gt;</t>
  </si>
  <si>
    <t>SRNA3&lt;XBSP&gt;</t>
  </si>
  <si>
    <t>CSNA3&lt;XBSP&gt;</t>
  </si>
  <si>
    <t>SLCE3&lt;XBSP&gt;</t>
  </si>
  <si>
    <t>SMFT3&lt;XBSP&gt;</t>
  </si>
  <si>
    <t>SGPS3&lt;XBSP&gt;</t>
  </si>
  <si>
    <t>TSMC34&lt;XBSP&gt;</t>
  </si>
  <si>
    <t>TCSA3&lt;XBSP&gt;</t>
  </si>
  <si>
    <t>TGMA3&lt;XBSP&gt;</t>
  </si>
  <si>
    <t>VIVT3&lt;XBSP&gt;</t>
  </si>
  <si>
    <t>TEND3&lt;XBSP&gt;</t>
  </si>
  <si>
    <t>TIMS3&lt;XBSP&gt;</t>
  </si>
  <si>
    <t>TOTS3&lt;XBSP&gt;</t>
  </si>
  <si>
    <t>TFCO4&lt;XBSP&gt;</t>
  </si>
  <si>
    <t>TRIS3&lt;XBSP&gt;</t>
  </si>
  <si>
    <t>UGPA3&lt;XBSP&gt;</t>
  </si>
  <si>
    <t>UCAS3&lt;XBSP&gt;</t>
  </si>
  <si>
    <t>FIQE3&lt;XBSP&gt;</t>
  </si>
  <si>
    <t>UNIP6&lt;XBSP&gt;</t>
  </si>
  <si>
    <t>USIM5&lt;XBSP&gt;</t>
  </si>
  <si>
    <t>VLID3&lt;XBSP&gt;</t>
  </si>
  <si>
    <t>VBBR3&lt;XBSP&gt;</t>
  </si>
  <si>
    <t>VTRU3&lt;XBSP&gt;</t>
  </si>
  <si>
    <t>VITT3&lt;XBSP&gt;</t>
  </si>
  <si>
    <t>VIVA3&lt;XBSP&gt;</t>
  </si>
  <si>
    <t>VVEO3&lt;XBSP&gt;</t>
  </si>
  <si>
    <t>VULC3&lt;XBSP&gt;</t>
  </si>
  <si>
    <t>WEGE3&lt;XBSP&gt;</t>
  </si>
  <si>
    <t>PORT3&lt;XBSP&gt;</t>
  </si>
  <si>
    <t>WIZC3&lt;XBSP&gt;</t>
  </si>
  <si>
    <t>WLMM4&lt;XBSP&gt;</t>
  </si>
  <si>
    <t>ZAMP3&lt;XBSP&gt;</t>
  </si>
  <si>
    <t>NATU3&lt;XBSP&gt;</t>
  </si>
  <si>
    <t>NATU3</t>
  </si>
  <si>
    <t>AESB3</t>
  </si>
  <si>
    <t>BOVA11</t>
  </si>
  <si>
    <t>BRIT3</t>
  </si>
  <si>
    <t>CCRO3</t>
  </si>
  <si>
    <t>CLSA3</t>
  </si>
  <si>
    <t>CRFB3</t>
  </si>
  <si>
    <t>ELMD3</t>
  </si>
  <si>
    <t>FBMC4</t>
  </si>
  <si>
    <t>GMAT1</t>
  </si>
  <si>
    <t>HBSA1</t>
  </si>
  <si>
    <t>KRSA3</t>
  </si>
  <si>
    <t>LJQQ1</t>
  </si>
  <si>
    <t>PASS5</t>
  </si>
  <si>
    <t>SMAL11</t>
  </si>
  <si>
    <t>SMFT1</t>
  </si>
  <si>
    <t>AESB3&lt;XBSP&gt;</t>
  </si>
  <si>
    <t>BOVA11&lt;XBSP&gt;</t>
  </si>
  <si>
    <t>BRIT3&lt;XBSP&gt;</t>
  </si>
  <si>
    <t>CLSA3&lt;XBSP&gt;</t>
  </si>
  <si>
    <t>CRFB3&lt;XBSP&gt;</t>
  </si>
  <si>
    <t>ELMD3&lt;XBSP&gt;</t>
  </si>
  <si>
    <t>FBMC4&lt;XBSP&gt;</t>
  </si>
  <si>
    <t>HBSA1&lt;XBSP&gt;</t>
  </si>
  <si>
    <t>KRSA3&lt;XBSP&gt;</t>
  </si>
  <si>
    <t>LJQQ1&lt;XBSP&gt;</t>
  </si>
  <si>
    <t>PASS5&lt;XBSP&gt;</t>
  </si>
  <si>
    <t>SMAL11&lt;XBSP&gt;</t>
  </si>
  <si>
    <t>SMFT1&lt;XBSP&gt;</t>
  </si>
  <si>
    <t>D0</t>
  </si>
  <si>
    <t>TRLP4</t>
  </si>
  <si>
    <t>CCRO3 VIROU MOTV3</t>
  </si>
  <si>
    <t>TRLP3 VIROU ISAE3</t>
  </si>
  <si>
    <t>NTCO3 VIROU NATU3</t>
  </si>
  <si>
    <t>AXIA3&lt;XBSP&gt;</t>
  </si>
  <si>
    <t>AXIA6&lt;XBSP&gt;</t>
  </si>
  <si>
    <t>AZUL54&lt;XBSP&gt;</t>
  </si>
  <si>
    <t>AZUL54</t>
  </si>
  <si>
    <t>EMBJ3</t>
  </si>
  <si>
    <t>EMBJ3&lt;XBSP&gt;</t>
  </si>
  <si>
    <t>WDCN3</t>
  </si>
  <si>
    <t>WDCN3&lt;XBSP&gt;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</si>
</sst>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031403c29b9546358d8bf29969328628">
      <tp>
        <v>2</v>
        <stp/>
        <stp>47c1381f-bdaa-4904-ad2b-720b450d8c88</stp>
        <tr r="AC1" s="3"/>
      </tp>
      <tp>
        <v>2</v>
        <stp/>
        <stp>c57e2441-2105-4638-8809-8c9c6180ae51</stp>
        <tr r="AF1" s="3"/>
      </tp>
    </main>
    <main first="rtdsrv_eco_031403c29b9546358d8bf29969328628">
      <tp>
        <v>2</v>
        <stp/>
        <stp>a038396c-109d-41bd-8ca0-b7626d526e83</stp>
        <tr r="I1" s="3"/>
      </tp>
      <tp>
        <v>2</v>
        <stp/>
        <stp>61aed178-ab04-4175-bf61-86621aec1394</stp>
        <tr r="AH1" s="3"/>
      </tp>
    </main>
    <main first="rtdsrv_eco_031403c29b9546358d8bf29969328628">
      <tp>
        <v>2</v>
        <stp/>
        <stp>181e7d82-5278-47f7-b3f6-35c2b434e895</stp>
        <tr r="G1" s="3"/>
      </tp>
      <tp>
        <v>2</v>
        <stp/>
        <stp>82537910-7a39-4a81-a49b-db74da7d1650</stp>
        <tr r="H1" s="3"/>
      </tp>
    </main>
    <main first="rtdsrv_eco_031403c29b9546358d8bf29969328628">
      <tp>
        <v>2</v>
        <stp/>
        <stp>3196f494-5993-4148-8701-382efc782997</stp>
        <tr r="C1" s="3"/>
      </tp>
      <tp>
        <v>2</v>
        <stp/>
        <stp>88503f89-a0e1-4211-ad17-ae919200f08c</stp>
        <tr r="AE1" s="3"/>
      </tp>
      <tp>
        <v>2</v>
        <stp/>
        <stp>f1e2c800-9be3-4651-82a1-06bcc7460825</stp>
        <tr r="E1" s="3"/>
      </tp>
    </main>
    <main first="rtdsrv_eco_031403c29b9546358d8bf29969328628">
      <tp>
        <v>2</v>
        <stp/>
        <stp>dfa8685a-2953-45a2-80d3-78ccfcf06694</stp>
        <tr r="J1" s="3"/>
      </tp>
      <tp>
        <v>2</v>
        <stp/>
        <stp>378c3bcf-71f0-40a6-a1c4-0ef1f18027c3</stp>
        <tr r="AG1" s="3"/>
      </tp>
      <tp>
        <v>2</v>
        <stp/>
        <stp>867f2ecd-4ba9-4022-98e8-a15d9362af5e</stp>
        <tr r="D1" s="3"/>
      </tp>
      <tp>
        <v>2</v>
        <stp/>
        <stp>8b7ef435-da77-4022-b46b-dd3c56c8010e</stp>
        <tr r="F1" s="3"/>
      </tp>
      <tp>
        <v>2</v>
        <stp/>
        <stp>3d8acd2b-d724-45be-9d49-ccaa72d426f5</stp>
        <tr r="AB1" s="3"/>
      </tp>
      <tp>
        <v>2</v>
        <stp/>
        <stp>c75d8dce-f006-464c-9b62-fee1c4ba6b24</stp>
        <tr r="AA1" s="3"/>
      </tp>
      <tp>
        <v>2</v>
        <stp/>
        <stp>238b705b-1d31-4a21-ad94-c1cccb5ac9cd</stp>
        <tr r="AD1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2B3D-DDF0-42A6-B3D6-03B685C4F9CF}">
  <dimension ref="A1:AM251"/>
  <sheetViews>
    <sheetView tabSelected="1" workbookViewId="0"/>
  </sheetViews>
  <sheetFormatPr defaultRowHeight="14.5" x14ac:dyDescent="0.35"/>
  <cols>
    <col min="2" max="2" width="13.90625" bestFit="1" customWidth="1"/>
    <col min="33" max="33" width="9.26953125" customWidth="1"/>
    <col min="39" max="39" width="18.81640625" bestFit="1" customWidth="1"/>
  </cols>
  <sheetData>
    <row r="1" spans="1:39" x14ac:dyDescent="0.35">
      <c r="C1" t="str" cm="1">
        <f t="array" ref="C1">_xll.ECONOMATICA(B2:B251,"Hist Average","QTD","2024-10-31",,,"ORIGINAL CURRENCY","THOUSANDS","false","true",,{"std.tec.cals=7"})</f>
        <v>Media nulos = 0 do volume$ no trimestre (de 01Out24 até 31Out24) Em moeda orig em milhares</v>
      </c>
      <c r="D1" t="str" cm="1">
        <f t="array" ref="D1">_xll.ECONOMATICA(B2:B251,"Hist Average","QTD","2024-11-30",,,"ORIGINAL CURRENCY","THOUSANDS","false","true",,{"std.tec.cals=7"})</f>
        <v>Media nulos = 0 do volume$ no trimestre (de 01Out24 até 30Nov24) Em moeda orig em milhares</v>
      </c>
      <c r="E1" t="str" cm="1">
        <f t="array" ref="E1">_xll.ECONOMATICA(B2:B1377,"Hist Average","QTD","2024-12-31",,,"ORIGINAL CURRENCY","THOUSANDS","false","true",,{"std.tec.cals=7"})</f>
        <v>Media nulos = 0 do volume$ no trimestre (de 01Out24 até 31Dez24) Em moeda orig em milhares</v>
      </c>
      <c r="F1" t="str" cm="1">
        <f t="array" ref="F1">_xll.ECONOMATICA(B2:B1377,"Hist Average","QTD","2025-01-31",,,"ORIGINAL CURRENCY","THOUSANDS","false","true",,{"std.tec.cals=7"})</f>
        <v>Media nulos = 0 do volume$ no trimestre (de 01Jan25 até 31Jan25) Em moeda orig em milhares</v>
      </c>
      <c r="G1" t="str" cm="1">
        <f t="array" ref="G1">_xll.ECONOMATICA(B2:B1377,"Hist Average","QTD","2025-02-28",,,"ORIGINAL CURRENCY","THOUSANDS","false","true",,{"std.tec.cals=7"})</f>
        <v>Media nulos = 0 do volume$ no trimestre (de 01Jan25 até 28Fev25) Em moeda orig em milhares</v>
      </c>
      <c r="H1" t="str" cm="1">
        <f t="array" ref="H1">_xll.ECONOMATICA(B2:B1377,"Hist Average","QTD","2025-03-31",,,"ORIGINAL CURRENCY","THOUSANDS","false","true",,{"std.tec.cals=7"})</f>
        <v>Media nulos = 0 do volume$ no trimestre (de 01Jan25 até 31Mar25) Em moeda orig em milhares</v>
      </c>
      <c r="I1" t="str" cm="1">
        <f t="array" ref="I1">_xll.ECONOMATICA(B2:B1377,"Hist Average","QTD","2025-04-30",,,"ORIGINAL CURRENCY","THOUSANDS","false","true",,{"std.tec.cals=7"})</f>
        <v>Media nulos = 0 do volume$ no trimestre (de 01Abr25 até 30Abr25) Em moeda orig em milhares</v>
      </c>
      <c r="J1" t="str" cm="1">
        <f t="array" ref="J1">_xll.ECONOMATICA(B2:B1377,"Hist Average","QTD","D-0",,,"ORIGINAL CURRENCY","THOUSANDS","false","true",,{"std.tec.cals=7"})</f>
        <v>Media nulos = 0 do volume$ no trimestre (de 01Out25 até 28Dez25) Em moeda orig em milhares</v>
      </c>
      <c r="AA1" t="str" cm="1">
        <f t="array" ref="AA1">_xll.ECONOMATICA(B2:B1377,"MarketCapitaliz",,"2024-10-31",,,"ORIGINAL CURRENCY","THOUSANDS","false","true",,{"tc.dft'false";"tc.tp'0";"tc.pers'22";"tc.per'0"})</f>
        <v>Valor Mercado da empresa 31Out24 Em moeda orig em milhares</v>
      </c>
      <c r="AB1" t="str" cm="1">
        <f t="array" ref="AB1">_xll.ECONOMATICA(B2:B1377,"MarketCapitaliz",,"2024-11-30",,,"ORIGINAL CURRENCY","THOUSANDS","false","true",,{"tc.dft'false";"tc.tp'0";"tc.pers'22";"tc.per'0"})</f>
        <v>Valor Mercado da empresa 30Nov24 Em moeda orig em milhares</v>
      </c>
      <c r="AC1" t="str" cm="1">
        <f t="array" ref="AC1">_xll.ECONOMATICA($B$2:$B$1377,"MarketCapitaliz",,"2024-12-31",,,"ORIGINAL CURRENCY","THOUSANDS","false","true",,{"tc.dft'false";"tc.tp'0";"tc.pers'22";"tc.per'0"})</f>
        <v>Valor Mercado da empresa 31Dez24 Em moeda orig em milhares</v>
      </c>
      <c r="AD1" t="str" cm="1">
        <f t="array" ref="AD1">_xll.ECONOMATICA($B$2:$B$1377,"MarketCapitaliz",,"2025-01-30",,,"ORIGINAL CURRENCY","THOUSANDS","false","true",,{"tc.dft'false";"tc.tp'0";"tc.pers'22";"tc.per'0"})</f>
        <v>Valor Mercado da empresa 30Jan25 Em moeda orig em milhares</v>
      </c>
      <c r="AE1" t="str" cm="1">
        <f t="array" ref="AE1">_xll.ECONOMATICA($B$2:$B$1377,"MarketCapitaliz",,"2025-02-28",,,"ORIGINAL CURRENCY","THOUSANDS","false","true",,{"tc.dft'false";"tc.tp'0";"tc.pers'22";"tc.per'0"})</f>
        <v>Valor Mercado da empresa 28Fev25 Em moeda orig em milhares</v>
      </c>
      <c r="AF1" t="str" cm="1">
        <f t="array" ref="AF1">_xll.ECONOMATICA($B$2:$B$1377,"MarketCapitaliz",,"2025-03-31",,,"ORIGINAL CURRENCY","THOUSANDS","false","true",,{"tc.dft'false";"tc.tp'0";"tc.pers'22";"tc.per'0"})</f>
        <v>Valor Mercado da empresa 31Mar25 Em moeda orig em milhares</v>
      </c>
      <c r="AG1" t="str" cm="1">
        <f t="array" ref="AG1">_xll.ECONOMATICA($B$2:$B$1377,"MarketCapitaliz",,"2025-04-30",,,"ORIGINAL CURRENCY","THOUSANDS","false","true",,{"tc.dft'false";"tc.tp'0";"tc.pers'22";"tc.per'0"})</f>
        <v>Valor Mercado da empresa 30Abr25 Em moeda orig em milhares</v>
      </c>
      <c r="AH1" t="str" cm="1">
        <f t="array" ref="AH1">_xll.ECONOMATICA($B$2:$B$1377,"MarketCapitaliz",,"2025-05-31",,,"ORIGINAL CURRENCY","THOUSANDS","false","true",,{"tc.dft'false";"tc.tp'0";"tc.pers'22";"tc.per'0"})</f>
        <v>Valor Mercado da empresa 31Mai25 Em moeda orig em milhares</v>
      </c>
    </row>
    <row r="2" spans="1:39" x14ac:dyDescent="0.35">
      <c r="A2" s="1" t="s">
        <v>46</v>
      </c>
      <c r="B2" t="s">
        <v>0</v>
      </c>
      <c r="C2">
        <v>11202.825826</v>
      </c>
      <c r="D2">
        <v>13040.050523</v>
      </c>
      <c r="E2">
        <v>15339.600393000001</v>
      </c>
      <c r="F2">
        <v>11809.029135999999</v>
      </c>
      <c r="G2">
        <v>12951.976642</v>
      </c>
      <c r="H2">
        <v>12281.851032</v>
      </c>
      <c r="I2">
        <v>10607.934149999999</v>
      </c>
      <c r="J2">
        <v>9811.1593666999997</v>
      </c>
      <c r="AA2">
        <v>5022788.6760999998</v>
      </c>
      <c r="AB2">
        <v>4857123.0839999998</v>
      </c>
      <c r="AC2">
        <v>4640113.7710999995</v>
      </c>
      <c r="AD2">
        <v>4878006.7090999996</v>
      </c>
      <c r="AE2">
        <v>4738635.0888</v>
      </c>
      <c r="AF2">
        <v>4929184.1025</v>
      </c>
      <c r="AG2">
        <v>5217721.7084999997</v>
      </c>
      <c r="AH2">
        <v>5037385.7048000004</v>
      </c>
    </row>
    <row r="3" spans="1:39" x14ac:dyDescent="0.35">
      <c r="A3" t="s">
        <v>99</v>
      </c>
      <c r="B3" t="s">
        <v>290</v>
      </c>
      <c r="C3">
        <v>403200.20669999998</v>
      </c>
      <c r="D3">
        <v>394065.96289999998</v>
      </c>
      <c r="E3">
        <v>454227.29333000001</v>
      </c>
      <c r="F3">
        <v>394830.50423000002</v>
      </c>
      <c r="G3">
        <v>400434.23229000001</v>
      </c>
      <c r="H3">
        <v>413974.25867000001</v>
      </c>
      <c r="I3">
        <v>550312.27324999997</v>
      </c>
      <c r="J3">
        <v>408095.64025</v>
      </c>
      <c r="AA3">
        <v>198804132</v>
      </c>
      <c r="AB3">
        <v>200219667.75</v>
      </c>
      <c r="AC3">
        <v>184644959</v>
      </c>
      <c r="AD3">
        <v>174736413.5</v>
      </c>
      <c r="AE3">
        <v>192194327</v>
      </c>
      <c r="AF3">
        <v>211236727.5</v>
      </c>
      <c r="AG3">
        <v>227979194.05000001</v>
      </c>
      <c r="AH3">
        <v>219529724.94999999</v>
      </c>
    </row>
    <row r="4" spans="1:39" x14ac:dyDescent="0.35">
      <c r="A4" t="s">
        <v>93</v>
      </c>
      <c r="B4" t="s">
        <v>284</v>
      </c>
      <c r="C4">
        <v>1146.0416522</v>
      </c>
      <c r="D4">
        <v>1502.0500238</v>
      </c>
      <c r="E4">
        <v>3916.7683606999999</v>
      </c>
      <c r="F4">
        <v>9631.5969545000007</v>
      </c>
      <c r="G4">
        <v>6054.1410951999997</v>
      </c>
      <c r="H4">
        <v>4990.7250819999999</v>
      </c>
      <c r="I4">
        <v>1642.2337</v>
      </c>
      <c r="J4">
        <v>299.90640000000002</v>
      </c>
      <c r="AA4">
        <v>380579.48361</v>
      </c>
      <c r="AB4">
        <v>325423.03671000001</v>
      </c>
      <c r="AC4">
        <v>350005.24190000002</v>
      </c>
      <c r="AD4">
        <v>402720.5673</v>
      </c>
      <c r="AE4">
        <v>260511.7825</v>
      </c>
      <c r="AF4">
        <v>233177.21119999999</v>
      </c>
      <c r="AG4">
        <v>271835.53831999999</v>
      </c>
      <c r="AH4">
        <v>257722.1808</v>
      </c>
    </row>
    <row r="5" spans="1:39" x14ac:dyDescent="0.35">
      <c r="A5" t="s">
        <v>469</v>
      </c>
      <c r="B5" t="s">
        <v>484</v>
      </c>
      <c r="C5">
        <v>85037.102260999993</v>
      </c>
      <c r="D5">
        <v>46567.936951999996</v>
      </c>
      <c r="E5">
        <v>32063.169705</v>
      </c>
      <c r="F5">
        <v>0</v>
      </c>
      <c r="G5">
        <v>0</v>
      </c>
      <c r="H5">
        <v>0</v>
      </c>
      <c r="I5">
        <v>0</v>
      </c>
      <c r="J5">
        <v>0</v>
      </c>
      <c r="AA5">
        <v>4898842.9210000001</v>
      </c>
      <c r="AB5">
        <v>6091252.5553000001</v>
      </c>
      <c r="AM5" s="3" t="s">
        <v>499</v>
      </c>
    </row>
    <row r="6" spans="1:39" x14ac:dyDescent="0.35">
      <c r="A6" t="s">
        <v>113</v>
      </c>
      <c r="B6" t="s">
        <v>303</v>
      </c>
      <c r="C6">
        <v>5640.1554348</v>
      </c>
      <c r="D6">
        <v>5933.3557142999998</v>
      </c>
      <c r="E6">
        <v>5942.2509508000003</v>
      </c>
      <c r="F6">
        <v>4050.9974999999999</v>
      </c>
      <c r="G6">
        <v>5738.7780952000003</v>
      </c>
      <c r="H6">
        <v>5086.9561148000003</v>
      </c>
      <c r="I6">
        <v>4822.7756499999996</v>
      </c>
      <c r="J6">
        <v>3429.2847167</v>
      </c>
      <c r="AA6">
        <v>2418195.1061999998</v>
      </c>
      <c r="AB6">
        <v>2424356.1127999998</v>
      </c>
      <c r="AC6">
        <v>2271357.7812999999</v>
      </c>
      <c r="AD6">
        <v>2366853.3842000002</v>
      </c>
      <c r="AE6">
        <v>2132735.1318999999</v>
      </c>
      <c r="AF6">
        <v>2244336.2461999999</v>
      </c>
      <c r="AG6">
        <v>2109855.3793000001</v>
      </c>
      <c r="AH6">
        <v>2093916.9061</v>
      </c>
      <c r="AM6" s="3" t="s">
        <v>500</v>
      </c>
    </row>
    <row r="7" spans="1:39" x14ac:dyDescent="0.35">
      <c r="A7" t="s">
        <v>47</v>
      </c>
      <c r="B7" t="s">
        <v>1</v>
      </c>
      <c r="C7">
        <v>96400.128217000005</v>
      </c>
      <c r="D7">
        <v>107606.94057000001</v>
      </c>
      <c r="E7">
        <v>104912.12192999999</v>
      </c>
      <c r="F7">
        <v>86010.676135999995</v>
      </c>
      <c r="G7">
        <v>79541.980190000002</v>
      </c>
      <c r="H7">
        <v>77563.508820000003</v>
      </c>
      <c r="I7">
        <v>82815.759399999995</v>
      </c>
      <c r="J7">
        <v>136445.60725</v>
      </c>
      <c r="AA7">
        <v>11628549.916999999</v>
      </c>
      <c r="AB7">
        <v>10351091.676000001</v>
      </c>
      <c r="AC7">
        <v>9176452.1976999994</v>
      </c>
      <c r="AD7">
        <v>9774365.7037000004</v>
      </c>
      <c r="AE7">
        <v>9166318.0704999994</v>
      </c>
      <c r="AF7">
        <v>9579461.0939000007</v>
      </c>
      <c r="AG7">
        <v>10646071.241</v>
      </c>
      <c r="AH7">
        <v>11126796.942</v>
      </c>
      <c r="AM7" s="3" t="s">
        <v>501</v>
      </c>
    </row>
    <row r="8" spans="1:39" x14ac:dyDescent="0.35">
      <c r="A8" t="s">
        <v>94</v>
      </c>
      <c r="B8" t="s">
        <v>285</v>
      </c>
      <c r="C8">
        <v>16385.694087</v>
      </c>
      <c r="D8">
        <v>21815.974381</v>
      </c>
      <c r="E8">
        <v>21460.177491999999</v>
      </c>
      <c r="F8">
        <v>17751.825227000001</v>
      </c>
      <c r="G8">
        <v>15910.539309</v>
      </c>
      <c r="H8">
        <v>15896.437295</v>
      </c>
      <c r="I8">
        <v>13757.179599999999</v>
      </c>
      <c r="J8">
        <v>24415.878550000001</v>
      </c>
      <c r="AA8">
        <v>4557961.6205000002</v>
      </c>
      <c r="AB8">
        <v>4193552.1153000002</v>
      </c>
      <c r="AC8">
        <v>4111966.6570000001</v>
      </c>
      <c r="AD8">
        <v>4128968.1063999999</v>
      </c>
      <c r="AE8">
        <v>4339516.5467999997</v>
      </c>
      <c r="AF8">
        <v>4497527.4967</v>
      </c>
      <c r="AG8">
        <v>4856239.0086000003</v>
      </c>
      <c r="AH8">
        <v>6135803.4437999995</v>
      </c>
    </row>
    <row r="9" spans="1:39" x14ac:dyDescent="0.35">
      <c r="A9" t="s">
        <v>97</v>
      </c>
      <c r="B9" t="s">
        <v>288</v>
      </c>
      <c r="C9">
        <v>22849.050609000002</v>
      </c>
      <c r="D9">
        <v>25391.909428999999</v>
      </c>
      <c r="E9">
        <v>28677.16777</v>
      </c>
      <c r="F9">
        <v>26938.652136000001</v>
      </c>
      <c r="G9">
        <v>23909.994500000001</v>
      </c>
      <c r="H9">
        <v>25811.994295</v>
      </c>
      <c r="I9">
        <v>32825.828500000003</v>
      </c>
      <c r="J9">
        <v>23865.950517000001</v>
      </c>
      <c r="AA9">
        <v>9391793.0550999995</v>
      </c>
      <c r="AB9">
        <v>8874224.7503999993</v>
      </c>
      <c r="AC9">
        <v>8527102.6722999997</v>
      </c>
      <c r="AD9">
        <v>9142580.3911000006</v>
      </c>
      <c r="AE9">
        <v>8891602.2640000004</v>
      </c>
      <c r="AF9">
        <v>9373482.3057000004</v>
      </c>
      <c r="AG9">
        <v>10339441.611</v>
      </c>
      <c r="AH9">
        <v>10638309.09</v>
      </c>
    </row>
    <row r="10" spans="1:39" x14ac:dyDescent="0.35">
      <c r="A10" t="s">
        <v>100</v>
      </c>
      <c r="B10" t="s">
        <v>291</v>
      </c>
      <c r="C10">
        <v>24853.055304000001</v>
      </c>
      <c r="D10">
        <v>26267.181667000001</v>
      </c>
      <c r="E10">
        <v>35389.241426000001</v>
      </c>
      <c r="F10">
        <v>13816.919818</v>
      </c>
      <c r="G10">
        <v>11780.310857</v>
      </c>
      <c r="H10">
        <v>13088.173639000001</v>
      </c>
      <c r="I10">
        <v>11257.551149999999</v>
      </c>
      <c r="J10">
        <v>19943.933183000001</v>
      </c>
      <c r="AA10">
        <v>21598507.067000002</v>
      </c>
      <c r="AB10">
        <v>26892062.280000001</v>
      </c>
      <c r="AC10">
        <v>21683709.969999999</v>
      </c>
      <c r="AD10">
        <v>22497683.083000001</v>
      </c>
      <c r="AE10">
        <v>20878076.745999999</v>
      </c>
      <c r="AF10">
        <v>20460570.544</v>
      </c>
      <c r="AG10">
        <v>20320657.818</v>
      </c>
      <c r="AH10">
        <v>31980051.647999998</v>
      </c>
    </row>
    <row r="11" spans="1:39" x14ac:dyDescent="0.35">
      <c r="A11" t="s">
        <v>101</v>
      </c>
      <c r="B11" t="s">
        <v>292</v>
      </c>
      <c r="C11">
        <v>7787.8121303999997</v>
      </c>
      <c r="D11">
        <v>41379.145786000001</v>
      </c>
      <c r="E11">
        <v>34130.660295000001</v>
      </c>
      <c r="F11">
        <v>16761.581817999999</v>
      </c>
      <c r="G11">
        <v>14205.299666000001</v>
      </c>
      <c r="H11">
        <v>24249.447295000002</v>
      </c>
      <c r="I11">
        <v>23081.48215</v>
      </c>
      <c r="J11">
        <v>11942.270633</v>
      </c>
      <c r="AA11">
        <v>740894.78949999996</v>
      </c>
      <c r="AB11">
        <v>1655999.9754999999</v>
      </c>
      <c r="AC11">
        <v>1241513.9036000001</v>
      </c>
      <c r="AD11">
        <v>1301587.1569999999</v>
      </c>
      <c r="AE11">
        <v>1085323.4447999999</v>
      </c>
      <c r="AF11">
        <v>1141392.1509</v>
      </c>
      <c r="AG11">
        <v>1133382.3814000001</v>
      </c>
      <c r="AH11">
        <v>1027252.9358</v>
      </c>
    </row>
    <row r="12" spans="1:39" x14ac:dyDescent="0.35">
      <c r="A12" t="s">
        <v>104</v>
      </c>
      <c r="B12" t="s">
        <v>295</v>
      </c>
      <c r="F12">
        <v>5981.6802727000004</v>
      </c>
      <c r="G12">
        <v>5979.3762380999997</v>
      </c>
      <c r="H12">
        <v>5350.5471803</v>
      </c>
      <c r="I12">
        <v>2600.3613</v>
      </c>
      <c r="J12">
        <v>686.18025</v>
      </c>
      <c r="AC12">
        <v>644062.96967999998</v>
      </c>
      <c r="AD12">
        <v>587233.88411999994</v>
      </c>
      <c r="AE12">
        <v>473575.71299999999</v>
      </c>
      <c r="AF12">
        <v>473575.71299999999</v>
      </c>
      <c r="AG12">
        <v>511461.77003999997</v>
      </c>
      <c r="AH12">
        <v>473575.71299999999</v>
      </c>
    </row>
    <row r="13" spans="1:39" x14ac:dyDescent="0.35">
      <c r="A13" t="s">
        <v>48</v>
      </c>
      <c r="B13" t="s">
        <v>2</v>
      </c>
      <c r="C13">
        <v>19889.207435</v>
      </c>
      <c r="D13">
        <v>24040.060380999999</v>
      </c>
      <c r="E13">
        <v>23660.158230000001</v>
      </c>
      <c r="F13">
        <v>16879.234</v>
      </c>
      <c r="G13">
        <v>17851.906738000001</v>
      </c>
      <c r="H13">
        <v>19434.534098</v>
      </c>
      <c r="I13">
        <v>33029.55775</v>
      </c>
      <c r="J13">
        <v>23812.36635</v>
      </c>
      <c r="AA13">
        <v>963142.75710000005</v>
      </c>
      <c r="AB13">
        <v>808284.50988000003</v>
      </c>
      <c r="AC13">
        <v>596770.80636000005</v>
      </c>
      <c r="AD13">
        <v>793176.38820000004</v>
      </c>
      <c r="AE13">
        <v>638318.14098000003</v>
      </c>
      <c r="AF13">
        <v>868716.99659999995</v>
      </c>
      <c r="AG13">
        <v>1204872.7039999999</v>
      </c>
      <c r="AH13">
        <v>1605237.9284999999</v>
      </c>
    </row>
    <row r="14" spans="1:39" x14ac:dyDescent="0.35">
      <c r="A14" t="s">
        <v>102</v>
      </c>
      <c r="B14" t="s">
        <v>293</v>
      </c>
      <c r="C14">
        <v>7293.9250000000002</v>
      </c>
      <c r="D14">
        <v>7290.7757142999999</v>
      </c>
      <c r="E14">
        <v>7232.2669343999996</v>
      </c>
      <c r="F14">
        <v>4246.1991817999997</v>
      </c>
      <c r="G14">
        <v>5066.3546189999997</v>
      </c>
      <c r="H14">
        <v>5354.5432951000003</v>
      </c>
      <c r="I14">
        <v>6555.9135999999999</v>
      </c>
      <c r="J14">
        <v>4678.9916999999996</v>
      </c>
      <c r="AA14">
        <v>2585729.2949999999</v>
      </c>
      <c r="AB14">
        <v>2319194.9500000002</v>
      </c>
      <c r="AC14">
        <v>1741389.2845999999</v>
      </c>
      <c r="AD14">
        <v>1727541.2585</v>
      </c>
      <c r="AE14">
        <v>1526744.8796999999</v>
      </c>
      <c r="AF14">
        <v>1305261.1209</v>
      </c>
      <c r="AG14">
        <v>1516457.2174</v>
      </c>
      <c r="AH14">
        <v>1696493.2341</v>
      </c>
    </row>
    <row r="15" spans="1:39" x14ac:dyDescent="0.35">
      <c r="A15" t="s">
        <v>103</v>
      </c>
      <c r="B15" t="s">
        <v>294</v>
      </c>
      <c r="C15">
        <v>160456.14635</v>
      </c>
      <c r="D15">
        <v>203350.52614</v>
      </c>
      <c r="E15">
        <v>188154.64872</v>
      </c>
      <c r="F15">
        <v>109704.40204</v>
      </c>
      <c r="G15">
        <v>127204.44107</v>
      </c>
      <c r="H15">
        <v>122542.6575</v>
      </c>
      <c r="I15">
        <v>114951.976</v>
      </c>
      <c r="J15">
        <v>150966.60329999999</v>
      </c>
      <c r="AA15">
        <v>10127154.1</v>
      </c>
      <c r="AB15">
        <v>8923794</v>
      </c>
      <c r="AC15">
        <v>7591580.0926000001</v>
      </c>
      <c r="AD15">
        <v>9223163.0254999995</v>
      </c>
      <c r="AE15">
        <v>8993932.3654999994</v>
      </c>
      <c r="AF15">
        <v>10167275.300000001</v>
      </c>
      <c r="AG15">
        <v>12392209.550000001</v>
      </c>
      <c r="AH15">
        <v>15129552.9</v>
      </c>
    </row>
    <row r="16" spans="1:39" x14ac:dyDescent="0.35">
      <c r="A16" t="s">
        <v>49</v>
      </c>
      <c r="B16" t="s">
        <v>3</v>
      </c>
      <c r="C16">
        <v>60333.018347999998</v>
      </c>
      <c r="D16">
        <v>61180.536905000001</v>
      </c>
      <c r="E16">
        <v>59643.660114999999</v>
      </c>
      <c r="F16">
        <v>52049.696499999998</v>
      </c>
      <c r="G16">
        <v>49724.721333000001</v>
      </c>
      <c r="H16">
        <v>50534.687901999998</v>
      </c>
      <c r="I16">
        <v>44814.18795</v>
      </c>
      <c r="J16">
        <v>61514.065866999998</v>
      </c>
      <c r="AA16">
        <v>10250000</v>
      </c>
      <c r="AB16">
        <v>10356726.823000001</v>
      </c>
      <c r="AC16">
        <v>9164457.0600000005</v>
      </c>
      <c r="AD16">
        <v>8485221.3599999994</v>
      </c>
      <c r="AE16">
        <v>8140378.6200000001</v>
      </c>
      <c r="AF16">
        <v>7774636.3200000003</v>
      </c>
      <c r="AG16">
        <v>9331653.5399999991</v>
      </c>
      <c r="AH16">
        <v>10324382.640000001</v>
      </c>
    </row>
    <row r="17" spans="1:34" x14ac:dyDescent="0.35">
      <c r="A17" t="s">
        <v>96</v>
      </c>
      <c r="B17" t="s">
        <v>287</v>
      </c>
      <c r="C17">
        <v>30.562608696000002</v>
      </c>
      <c r="D17">
        <v>31.058309523999998</v>
      </c>
      <c r="E17">
        <v>24.908803279000001</v>
      </c>
      <c r="F17">
        <v>6.1581818182000001</v>
      </c>
      <c r="G17">
        <v>7.7118095238000004</v>
      </c>
      <c r="H17">
        <v>8.3115737705000008</v>
      </c>
      <c r="I17">
        <v>26.179549999999999</v>
      </c>
      <c r="J17">
        <v>27.504933333</v>
      </c>
      <c r="AA17">
        <v>578176.10736000002</v>
      </c>
      <c r="AB17">
        <v>488324.41499999998</v>
      </c>
      <c r="AC17">
        <v>531296.96351999999</v>
      </c>
      <c r="AD17">
        <v>435585.37818</v>
      </c>
      <c r="AE17">
        <v>398472.72263999999</v>
      </c>
      <c r="AF17">
        <v>404332.61562</v>
      </c>
      <c r="AG17">
        <v>394566.12732000003</v>
      </c>
      <c r="AH17">
        <v>427772.18754000001</v>
      </c>
    </row>
    <row r="18" spans="1:34" x14ac:dyDescent="0.35">
      <c r="A18" t="s">
        <v>105</v>
      </c>
      <c r="B18" t="s">
        <v>296</v>
      </c>
      <c r="C18">
        <v>2770.5133913</v>
      </c>
      <c r="D18">
        <v>2631.5515713999998</v>
      </c>
      <c r="E18">
        <v>3256.6429836000002</v>
      </c>
      <c r="F18">
        <v>4225.3269545000003</v>
      </c>
      <c r="G18">
        <v>10612.007309000001</v>
      </c>
      <c r="H18">
        <v>9601.5811147999993</v>
      </c>
      <c r="I18">
        <v>3784.2373499999999</v>
      </c>
      <c r="J18">
        <v>2202.5648332999999</v>
      </c>
      <c r="AA18">
        <v>230501.73764000001</v>
      </c>
      <c r="AB18">
        <v>181105.36989</v>
      </c>
      <c r="AC18">
        <v>185730.34273999999</v>
      </c>
      <c r="AD18">
        <v>229872.40979000001</v>
      </c>
      <c r="AE18">
        <v>687462.52122</v>
      </c>
      <c r="AF18">
        <v>590338.52943</v>
      </c>
      <c r="AG18">
        <v>428407.04745000001</v>
      </c>
      <c r="AH18">
        <v>390558.42875999998</v>
      </c>
    </row>
    <row r="19" spans="1:34" x14ac:dyDescent="0.35">
      <c r="A19" t="s">
        <v>505</v>
      </c>
      <c r="B19" t="s">
        <v>504</v>
      </c>
      <c r="C19">
        <v>164082.40687000001</v>
      </c>
      <c r="D19">
        <v>140089.92326000001</v>
      </c>
      <c r="E19">
        <v>124531.14144000001</v>
      </c>
      <c r="F19">
        <v>77376.841182000004</v>
      </c>
      <c r="G19">
        <v>72751.180047999995</v>
      </c>
      <c r="H19">
        <v>60242.337033000003</v>
      </c>
      <c r="I19">
        <v>154542.20319999999</v>
      </c>
      <c r="J19">
        <v>19036.973255000001</v>
      </c>
      <c r="AA19">
        <v>1975222.0845999999</v>
      </c>
      <c r="AB19">
        <v>1714409.3093000001</v>
      </c>
      <c r="AC19">
        <v>1231036.2992</v>
      </c>
      <c r="AD19">
        <v>1599651.6882</v>
      </c>
      <c r="AE19">
        <v>1347290.1745</v>
      </c>
      <c r="AF19">
        <v>1461243.5774000001</v>
      </c>
      <c r="AG19">
        <v>652896.06648000004</v>
      </c>
      <c r="AH19">
        <v>399732.2856</v>
      </c>
    </row>
    <row r="20" spans="1:34" x14ac:dyDescent="0.35">
      <c r="A20" t="s">
        <v>107</v>
      </c>
      <c r="B20" t="s">
        <v>297</v>
      </c>
      <c r="C20">
        <v>71720.153000000006</v>
      </c>
      <c r="D20">
        <v>75053.061713999996</v>
      </c>
      <c r="E20">
        <v>78081.838212999995</v>
      </c>
      <c r="F20">
        <v>52676.434136000003</v>
      </c>
      <c r="G20">
        <v>59294.854976000002</v>
      </c>
      <c r="H20">
        <v>73346.255115000007</v>
      </c>
      <c r="I20">
        <v>53444.307050000003</v>
      </c>
      <c r="J20">
        <v>79785.296866999997</v>
      </c>
      <c r="AA20">
        <v>8514705.5958999991</v>
      </c>
      <c r="AB20">
        <v>7575280.0269999998</v>
      </c>
      <c r="AC20">
        <v>6107353.9665999999</v>
      </c>
      <c r="AD20">
        <v>7160346.0297999997</v>
      </c>
      <c r="AE20">
        <v>5368194.8320000004</v>
      </c>
      <c r="AF20">
        <v>5058491.284</v>
      </c>
      <c r="AG20">
        <v>6573973.9789000005</v>
      </c>
      <c r="AH20">
        <v>9115607.7628000006</v>
      </c>
    </row>
    <row r="21" spans="1:34" x14ac:dyDescent="0.35">
      <c r="A21" t="s">
        <v>98</v>
      </c>
      <c r="B21" t="s">
        <v>289</v>
      </c>
      <c r="C21">
        <v>147.16039129999999</v>
      </c>
      <c r="D21">
        <v>147.32835714000001</v>
      </c>
      <c r="E21">
        <v>163.25977048999999</v>
      </c>
      <c r="F21">
        <v>126.30490909</v>
      </c>
      <c r="G21">
        <v>160.85278571000001</v>
      </c>
      <c r="H21">
        <v>181.37998361000001</v>
      </c>
      <c r="I21">
        <v>214.56084999999999</v>
      </c>
      <c r="J21">
        <v>301.52195</v>
      </c>
      <c r="AA21">
        <v>5119805.9089000002</v>
      </c>
      <c r="AB21">
        <v>4748139.2805000003</v>
      </c>
      <c r="AC21">
        <v>4818212.1743000001</v>
      </c>
      <c r="AD21">
        <v>5044687.7669000002</v>
      </c>
      <c r="AE21">
        <v>4982463.0372000001</v>
      </c>
      <c r="AF21">
        <v>4905102.5625</v>
      </c>
      <c r="AG21">
        <v>4989190.0350000001</v>
      </c>
      <c r="AH21">
        <v>4260431.9400000004</v>
      </c>
    </row>
    <row r="22" spans="1:34" x14ac:dyDescent="0.35">
      <c r="A22" t="s">
        <v>55</v>
      </c>
      <c r="B22" t="s">
        <v>9</v>
      </c>
      <c r="C22">
        <v>409950.63039000001</v>
      </c>
      <c r="D22">
        <v>493804.26438000001</v>
      </c>
      <c r="E22">
        <v>508041.75003</v>
      </c>
      <c r="F22">
        <v>397085.99359000003</v>
      </c>
      <c r="G22">
        <v>530096.07530999999</v>
      </c>
      <c r="H22">
        <v>533037.62538999994</v>
      </c>
      <c r="I22">
        <v>508131.31615000003</v>
      </c>
      <c r="J22">
        <v>528483.48277</v>
      </c>
      <c r="AA22">
        <v>150290534.30000001</v>
      </c>
      <c r="AB22">
        <v>141386119.81</v>
      </c>
      <c r="AC22">
        <v>137963507.40000001</v>
      </c>
      <c r="AD22">
        <v>157770432.13</v>
      </c>
      <c r="AE22">
        <v>155886776.46000001</v>
      </c>
      <c r="AF22">
        <v>160921589.19</v>
      </c>
      <c r="AG22">
        <v>165145852.27000001</v>
      </c>
      <c r="AH22">
        <v>133692217.77</v>
      </c>
    </row>
    <row r="23" spans="1:34" x14ac:dyDescent="0.35">
      <c r="A23" t="s">
        <v>111</v>
      </c>
      <c r="B23" t="s">
        <v>301</v>
      </c>
      <c r="C23">
        <v>78950.554478000005</v>
      </c>
      <c r="D23">
        <v>95973.390094999995</v>
      </c>
      <c r="E23">
        <v>109649.21090000001</v>
      </c>
      <c r="F23">
        <v>93205.715408999997</v>
      </c>
      <c r="G23">
        <v>95295.840404999995</v>
      </c>
      <c r="H23">
        <v>92193.346885000006</v>
      </c>
      <c r="I23">
        <v>89587.672699999996</v>
      </c>
      <c r="J23">
        <v>95019.934766999999</v>
      </c>
      <c r="AA23">
        <v>143779299.87</v>
      </c>
      <c r="AB23">
        <v>126011813.45999999</v>
      </c>
      <c r="AC23">
        <v>114645738.97</v>
      </c>
      <c r="AD23">
        <v>122863329.62</v>
      </c>
      <c r="AE23">
        <v>114413649.59</v>
      </c>
      <c r="AF23">
        <v>127019532.95999999</v>
      </c>
      <c r="AG23">
        <v>137277818.97</v>
      </c>
      <c r="AH23">
        <v>159589651.72</v>
      </c>
    </row>
    <row r="24" spans="1:34" x14ac:dyDescent="0.35">
      <c r="A24" t="s">
        <v>54</v>
      </c>
      <c r="B24" t="s">
        <v>8</v>
      </c>
      <c r="C24">
        <v>490787.47473999998</v>
      </c>
      <c r="D24">
        <v>545067.90902000002</v>
      </c>
      <c r="E24">
        <v>525660.31791999994</v>
      </c>
      <c r="F24">
        <v>442470.55014000001</v>
      </c>
      <c r="G24">
        <v>505846.61781000003</v>
      </c>
      <c r="H24">
        <v>497946.89396999998</v>
      </c>
      <c r="I24">
        <v>433012.4167</v>
      </c>
      <c r="J24">
        <v>559439.97904999997</v>
      </c>
      <c r="AA24">
        <v>143779299.87</v>
      </c>
      <c r="AB24">
        <v>126011813.45999999</v>
      </c>
      <c r="AC24">
        <v>114645738.97</v>
      </c>
      <c r="AD24">
        <v>122863329.62</v>
      </c>
      <c r="AE24">
        <v>114413649.59</v>
      </c>
      <c r="AF24">
        <v>127019532.95999999</v>
      </c>
      <c r="AG24">
        <v>137277818.97</v>
      </c>
      <c r="AH24">
        <v>159589651.72</v>
      </c>
    </row>
    <row r="25" spans="1:34" x14ac:dyDescent="0.35">
      <c r="A25" t="s">
        <v>51</v>
      </c>
      <c r="B25" t="s">
        <v>5</v>
      </c>
      <c r="C25">
        <v>151270.98787000001</v>
      </c>
      <c r="D25">
        <v>149699.04329</v>
      </c>
      <c r="E25">
        <v>167536.36038999999</v>
      </c>
      <c r="F25">
        <v>169091.45032</v>
      </c>
      <c r="G25">
        <v>207946.65617</v>
      </c>
      <c r="H25">
        <v>199666.22907999999</v>
      </c>
      <c r="I25">
        <v>190234.36670000001</v>
      </c>
      <c r="J25">
        <v>163180.16193</v>
      </c>
      <c r="AA25">
        <v>66524444.870999999</v>
      </c>
      <c r="AB25">
        <v>65087967.217</v>
      </c>
      <c r="AC25">
        <v>70232110.167999998</v>
      </c>
      <c r="AD25">
        <v>74910368.473000005</v>
      </c>
      <c r="AE25">
        <v>73454478.959000006</v>
      </c>
      <c r="AF25">
        <v>78230960.833000004</v>
      </c>
      <c r="AG25">
        <v>83025761.658000007</v>
      </c>
      <c r="AH25">
        <v>72814971.237000003</v>
      </c>
    </row>
    <row r="26" spans="1:34" x14ac:dyDescent="0.35">
      <c r="A26" t="s">
        <v>210</v>
      </c>
      <c r="B26" t="s">
        <v>396</v>
      </c>
      <c r="C26">
        <v>51872.801609000002</v>
      </c>
      <c r="D26">
        <v>54088.39</v>
      </c>
      <c r="E26">
        <v>54446.322835999999</v>
      </c>
      <c r="F26">
        <v>44333.243226999999</v>
      </c>
      <c r="G26">
        <v>38146.692690000003</v>
      </c>
      <c r="H26">
        <v>41966.247458999998</v>
      </c>
      <c r="I26">
        <v>131501.6979</v>
      </c>
      <c r="J26">
        <v>89666.366582999995</v>
      </c>
      <c r="AA26">
        <v>3412290.5447999998</v>
      </c>
      <c r="AB26">
        <v>3441706.8426000001</v>
      </c>
      <c r="AC26">
        <v>2994579.1159999999</v>
      </c>
      <c r="AD26">
        <v>2906330.2226</v>
      </c>
      <c r="AE26">
        <v>2600400.7255000002</v>
      </c>
      <c r="AF26">
        <v>3718220.0419000001</v>
      </c>
      <c r="AG26">
        <v>3589044.9371000002</v>
      </c>
      <c r="AH26">
        <v>3060708.3727000002</v>
      </c>
    </row>
    <row r="27" spans="1:34" x14ac:dyDescent="0.35">
      <c r="A27" t="s">
        <v>122</v>
      </c>
      <c r="B27" t="s">
        <v>312</v>
      </c>
      <c r="C27">
        <v>10690.665304</v>
      </c>
      <c r="D27">
        <v>12055.897142</v>
      </c>
      <c r="E27">
        <v>12023.933327000001</v>
      </c>
      <c r="F27">
        <v>9397.7000908999999</v>
      </c>
      <c r="G27">
        <v>9945.3454999999994</v>
      </c>
      <c r="H27">
        <v>34593.656066000003</v>
      </c>
      <c r="I27">
        <v>50152.968950000002</v>
      </c>
      <c r="J27">
        <v>17758.405849999999</v>
      </c>
      <c r="AA27">
        <v>391684.28</v>
      </c>
      <c r="AB27">
        <v>353656.68</v>
      </c>
      <c r="AC27">
        <v>274758.08</v>
      </c>
      <c r="AD27">
        <v>331801.28000000003</v>
      </c>
      <c r="AE27">
        <v>251940.8</v>
      </c>
      <c r="AF27">
        <v>854697.28</v>
      </c>
      <c r="AG27">
        <v>517191.67999999999</v>
      </c>
      <c r="AH27">
        <v>378386.56</v>
      </c>
    </row>
    <row r="28" spans="1:34" x14ac:dyDescent="0.35">
      <c r="A28" t="s">
        <v>109</v>
      </c>
      <c r="B28" t="s">
        <v>299</v>
      </c>
      <c r="C28">
        <v>3539.3960434999999</v>
      </c>
      <c r="D28">
        <v>4781.7816429000004</v>
      </c>
      <c r="E28">
        <v>4602.5593279000004</v>
      </c>
      <c r="F28">
        <v>3134.0211364000002</v>
      </c>
      <c r="G28">
        <v>2740.4144999999999</v>
      </c>
      <c r="H28">
        <v>2838.8046884999999</v>
      </c>
      <c r="I28">
        <v>5021.9980999999998</v>
      </c>
      <c r="J28">
        <v>3413.3009167</v>
      </c>
      <c r="AA28">
        <v>2665211.085</v>
      </c>
      <c r="AB28">
        <v>2379145.0951999999</v>
      </c>
      <c r="AC28">
        <v>2336501.7178000002</v>
      </c>
      <c r="AD28">
        <v>2370261.0583000001</v>
      </c>
      <c r="AE28">
        <v>2206794.7784000002</v>
      </c>
      <c r="AF28">
        <v>2260099.0000999998</v>
      </c>
      <c r="AG28">
        <v>2293858.3404999999</v>
      </c>
      <c r="AH28">
        <v>2487530.3459999999</v>
      </c>
    </row>
    <row r="29" spans="1:34" x14ac:dyDescent="0.35">
      <c r="A29" t="s">
        <v>207</v>
      </c>
      <c r="B29" t="s">
        <v>393</v>
      </c>
      <c r="C29">
        <v>1243.5154783</v>
      </c>
      <c r="D29">
        <v>1245.0962380999999</v>
      </c>
      <c r="E29">
        <v>1181.5253442999999</v>
      </c>
      <c r="F29">
        <v>616.04190908999999</v>
      </c>
      <c r="G29">
        <v>578.55921429</v>
      </c>
      <c r="H29">
        <v>519.61421311000004</v>
      </c>
      <c r="I29">
        <v>444.60244999999998</v>
      </c>
      <c r="J29">
        <v>1433.9277333</v>
      </c>
      <c r="AA29">
        <v>4081776.23</v>
      </c>
      <c r="AB29">
        <v>4073045.7</v>
      </c>
      <c r="AC29">
        <v>3546793.32</v>
      </c>
      <c r="AD29">
        <v>3503250.44</v>
      </c>
      <c r="AE29">
        <v>3723037.77</v>
      </c>
      <c r="AF29">
        <v>3533225.3</v>
      </c>
      <c r="AG29">
        <v>3342136.56</v>
      </c>
      <c r="AH29">
        <v>3643251.05</v>
      </c>
    </row>
    <row r="30" spans="1:34" x14ac:dyDescent="0.35">
      <c r="A30" t="s">
        <v>52</v>
      </c>
      <c r="B30" t="s">
        <v>6</v>
      </c>
      <c r="C30">
        <v>3559.5725652000001</v>
      </c>
      <c r="D30">
        <v>3624.8424524000002</v>
      </c>
      <c r="E30">
        <v>3727.7854590000002</v>
      </c>
      <c r="F30">
        <v>2958.1704544999998</v>
      </c>
      <c r="G30">
        <v>2984.2746428999999</v>
      </c>
      <c r="H30">
        <v>3593.8665409999999</v>
      </c>
      <c r="I30">
        <v>7681.9036999999998</v>
      </c>
      <c r="J30">
        <v>9527.8352666999999</v>
      </c>
      <c r="AA30">
        <v>1319927.2046000001</v>
      </c>
      <c r="AB30">
        <v>1241176.6839999999</v>
      </c>
      <c r="AC30">
        <v>1162561.9634</v>
      </c>
      <c r="AD30">
        <v>1194237.0684</v>
      </c>
      <c r="AE30">
        <v>1241321.6839999999</v>
      </c>
      <c r="AF30">
        <v>1444290.4055999999</v>
      </c>
      <c r="AG30">
        <v>1592509.1294</v>
      </c>
      <c r="AH30">
        <v>1605141.4069999999</v>
      </c>
    </row>
    <row r="31" spans="1:34" x14ac:dyDescent="0.35">
      <c r="A31" t="s">
        <v>470</v>
      </c>
      <c r="B31" t="s">
        <v>485</v>
      </c>
      <c r="C31">
        <v>685540.22796000005</v>
      </c>
      <c r="D31">
        <v>732091.70863000001</v>
      </c>
      <c r="E31">
        <v>760633.75173999998</v>
      </c>
      <c r="F31">
        <v>744045.50884999998</v>
      </c>
      <c r="G31">
        <v>699012.38266999996</v>
      </c>
      <c r="H31">
        <v>701267.53576</v>
      </c>
      <c r="I31">
        <v>970025.72424999997</v>
      </c>
      <c r="J31">
        <v>899883.56475000002</v>
      </c>
    </row>
    <row r="32" spans="1:34" x14ac:dyDescent="0.35">
      <c r="A32" t="s">
        <v>57</v>
      </c>
      <c r="B32" t="s">
        <v>11</v>
      </c>
      <c r="C32">
        <v>223330.38178</v>
      </c>
      <c r="D32">
        <v>265640.45289999997</v>
      </c>
      <c r="E32">
        <v>284691.62952000002</v>
      </c>
      <c r="F32">
        <v>245269.41377000001</v>
      </c>
      <c r="G32">
        <v>278036.43764000002</v>
      </c>
      <c r="H32">
        <v>290323.34473999997</v>
      </c>
      <c r="I32">
        <v>283078.56339999998</v>
      </c>
      <c r="J32">
        <v>439489.61421999999</v>
      </c>
      <c r="AA32">
        <v>148553695.03</v>
      </c>
      <c r="AB32">
        <v>143103157.63999999</v>
      </c>
      <c r="AC32">
        <v>133565749.61</v>
      </c>
      <c r="AD32">
        <v>148430508.69</v>
      </c>
      <c r="AE32">
        <v>154611937.99000001</v>
      </c>
      <c r="AF32">
        <v>164815231.84999999</v>
      </c>
      <c r="AG32">
        <v>200014030.94</v>
      </c>
      <c r="AH32">
        <v>202766036.63999999</v>
      </c>
    </row>
    <row r="33" spans="1:34" x14ac:dyDescent="0.35">
      <c r="A33" t="s">
        <v>118</v>
      </c>
      <c r="B33" t="s">
        <v>308</v>
      </c>
      <c r="C33">
        <v>31.616347825999998</v>
      </c>
      <c r="D33">
        <v>49.832666666999998</v>
      </c>
      <c r="E33">
        <v>52.934032787</v>
      </c>
      <c r="F33">
        <v>17.021090909000002</v>
      </c>
      <c r="G33">
        <v>33.425476189999998</v>
      </c>
      <c r="H33">
        <v>45.431409836</v>
      </c>
      <c r="I33">
        <v>71.919200000000004</v>
      </c>
      <c r="J33">
        <v>78.257383333000007</v>
      </c>
      <c r="AA33">
        <v>148553695.03</v>
      </c>
      <c r="AB33">
        <v>143103157.63999999</v>
      </c>
      <c r="AC33">
        <v>133565749.61</v>
      </c>
      <c r="AD33">
        <v>148430508.69</v>
      </c>
      <c r="AE33">
        <v>154611937.99000001</v>
      </c>
      <c r="AF33">
        <v>164815231.84999999</v>
      </c>
      <c r="AG33">
        <v>200014030.94</v>
      </c>
      <c r="AH33">
        <v>202766036.63999999</v>
      </c>
    </row>
    <row r="34" spans="1:34" x14ac:dyDescent="0.35">
      <c r="A34" t="s">
        <v>108</v>
      </c>
      <c r="B34" t="s">
        <v>298</v>
      </c>
      <c r="C34">
        <v>18681.233348000002</v>
      </c>
      <c r="D34">
        <v>18935.415738</v>
      </c>
      <c r="E34">
        <v>19614.124737999999</v>
      </c>
      <c r="F34">
        <v>8723.3186817999995</v>
      </c>
      <c r="G34">
        <v>10408.898451999999</v>
      </c>
      <c r="H34">
        <v>9319.9292623000001</v>
      </c>
      <c r="I34">
        <v>9245.0280000000002</v>
      </c>
      <c r="J34">
        <v>26388.825217000001</v>
      </c>
      <c r="AA34">
        <v>10629843.062000001</v>
      </c>
      <c r="AB34">
        <v>8941573.8697999995</v>
      </c>
      <c r="AC34">
        <v>7928612.3545000004</v>
      </c>
      <c r="AD34">
        <v>8741482.7062999997</v>
      </c>
      <c r="AE34">
        <v>8854033.9857999999</v>
      </c>
      <c r="AF34">
        <v>9116653.6379000004</v>
      </c>
      <c r="AG34">
        <v>9516835.9649</v>
      </c>
      <c r="AH34">
        <v>11380184.925000001</v>
      </c>
    </row>
    <row r="35" spans="1:34" x14ac:dyDescent="0.35">
      <c r="A35" t="s">
        <v>112</v>
      </c>
      <c r="B35" t="s">
        <v>302</v>
      </c>
      <c r="C35">
        <v>67577.472651999997</v>
      </c>
      <c r="D35">
        <v>95967.760928999996</v>
      </c>
      <c r="E35">
        <v>87661.477687999999</v>
      </c>
      <c r="F35">
        <v>53454.789863999998</v>
      </c>
      <c r="G35">
        <v>50348.181762</v>
      </c>
      <c r="H35">
        <v>53334.603655999999</v>
      </c>
      <c r="I35">
        <v>104109.36695</v>
      </c>
      <c r="J35">
        <v>82750.854250000004</v>
      </c>
      <c r="AA35">
        <v>7527239.0800000001</v>
      </c>
      <c r="AB35">
        <v>7040135.0499999998</v>
      </c>
      <c r="AC35">
        <v>6404396.46</v>
      </c>
      <c r="AD35">
        <v>6464706.0099999998</v>
      </c>
      <c r="AE35">
        <v>6380520.7000000002</v>
      </c>
      <c r="AF35">
        <v>6884438.5700000003</v>
      </c>
      <c r="AG35">
        <v>6244189.1299999999</v>
      </c>
      <c r="AH35">
        <v>6006742.2999999998</v>
      </c>
    </row>
    <row r="36" spans="1:34" x14ac:dyDescent="0.35">
      <c r="A36" t="s">
        <v>56</v>
      </c>
      <c r="B36" t="s">
        <v>10</v>
      </c>
      <c r="C36">
        <v>115943.41739</v>
      </c>
      <c r="D36">
        <v>139920.58418999999</v>
      </c>
      <c r="E36">
        <v>172846.94472</v>
      </c>
      <c r="F36">
        <v>236779.61364</v>
      </c>
      <c r="G36">
        <v>189089.48642999999</v>
      </c>
      <c r="H36">
        <v>187169.90616000001</v>
      </c>
      <c r="I36">
        <v>276366.49119999999</v>
      </c>
      <c r="J36">
        <v>155792.94407</v>
      </c>
      <c r="AA36">
        <v>7881521.0548</v>
      </c>
      <c r="AB36">
        <v>9227599.4445999991</v>
      </c>
      <c r="AC36">
        <v>10917159.905999999</v>
      </c>
      <c r="AD36">
        <v>10332312.054</v>
      </c>
      <c r="AE36">
        <v>8359610.9655999998</v>
      </c>
      <c r="AF36">
        <v>10722249.522</v>
      </c>
      <c r="AG36">
        <v>8057932.9746000003</v>
      </c>
      <c r="AH36">
        <v>8772749.6094000004</v>
      </c>
    </row>
    <row r="37" spans="1:34" x14ac:dyDescent="0.35">
      <c r="A37" t="s">
        <v>53</v>
      </c>
      <c r="B37" t="s">
        <v>7</v>
      </c>
      <c r="C37">
        <v>3734.139087</v>
      </c>
      <c r="D37">
        <v>4859.7617856999996</v>
      </c>
      <c r="E37">
        <v>5455.7459508000002</v>
      </c>
      <c r="F37">
        <v>5410.9290000000001</v>
      </c>
      <c r="G37">
        <v>4405.5532618999996</v>
      </c>
      <c r="H37">
        <v>3994.6479672</v>
      </c>
      <c r="I37">
        <v>4283.5667000000003</v>
      </c>
      <c r="J37">
        <v>5675.6436832999998</v>
      </c>
      <c r="AA37">
        <v>1568635.8178000001</v>
      </c>
      <c r="AB37">
        <v>1594884.7438000001</v>
      </c>
      <c r="AC37">
        <v>1379643.5506</v>
      </c>
      <c r="AD37">
        <v>1411142.2618</v>
      </c>
      <c r="AE37">
        <v>1356544.4957000001</v>
      </c>
      <c r="AF37">
        <v>1420591.8751000001</v>
      </c>
      <c r="AG37">
        <v>1543436.8488</v>
      </c>
      <c r="AH37">
        <v>1601184.486</v>
      </c>
    </row>
    <row r="38" spans="1:34" x14ac:dyDescent="0.35">
      <c r="A38" t="s">
        <v>116</v>
      </c>
      <c r="B38" t="s">
        <v>306</v>
      </c>
      <c r="C38">
        <v>158857.78239000001</v>
      </c>
      <c r="D38">
        <v>199079.8376</v>
      </c>
      <c r="E38">
        <v>217117.81489000001</v>
      </c>
      <c r="F38">
        <v>174516.93964</v>
      </c>
      <c r="G38">
        <v>182683.09757000001</v>
      </c>
      <c r="H38">
        <v>175855.27439000001</v>
      </c>
      <c r="I38">
        <v>148657.91764999999</v>
      </c>
      <c r="J38">
        <v>0</v>
      </c>
      <c r="AA38">
        <v>42969106.638999999</v>
      </c>
      <c r="AB38">
        <v>40642910.244999997</v>
      </c>
      <c r="AC38">
        <v>41104605.741999999</v>
      </c>
      <c r="AD38">
        <v>35658569.649999999</v>
      </c>
      <c r="AE38">
        <v>29061734.265000001</v>
      </c>
      <c r="AF38">
        <v>31484065.476</v>
      </c>
      <c r="AG38">
        <v>36315461.703000002</v>
      </c>
      <c r="AH38">
        <v>32475941.522</v>
      </c>
    </row>
    <row r="39" spans="1:34" x14ac:dyDescent="0.35">
      <c r="A39" t="s">
        <v>471</v>
      </c>
      <c r="B39" t="s">
        <v>486</v>
      </c>
      <c r="C39">
        <v>1017.7835217000001</v>
      </c>
      <c r="D39">
        <v>988.61509523999996</v>
      </c>
      <c r="E39">
        <v>735.69501638999998</v>
      </c>
      <c r="F39">
        <v>0</v>
      </c>
      <c r="G39">
        <v>0</v>
      </c>
      <c r="H39">
        <v>0</v>
      </c>
      <c r="I39">
        <v>0</v>
      </c>
      <c r="J39">
        <v>0</v>
      </c>
      <c r="AA39">
        <v>1381809.2396</v>
      </c>
      <c r="AB39">
        <v>1372894.3413</v>
      </c>
      <c r="AC39">
        <v>1363979.443</v>
      </c>
    </row>
    <row r="40" spans="1:34" x14ac:dyDescent="0.35">
      <c r="A40" t="s">
        <v>114</v>
      </c>
      <c r="B40" t="s">
        <v>304</v>
      </c>
      <c r="C40">
        <v>419.96065217</v>
      </c>
      <c r="D40">
        <v>451.83185714000001</v>
      </c>
      <c r="E40">
        <v>398.30201639000001</v>
      </c>
      <c r="F40">
        <v>157.32359091000001</v>
      </c>
      <c r="G40">
        <v>211.01504761999999</v>
      </c>
      <c r="H40">
        <v>210.25765573999999</v>
      </c>
      <c r="I40">
        <v>259.41820000000001</v>
      </c>
      <c r="J40">
        <v>184.72040000000001</v>
      </c>
      <c r="AA40">
        <v>13766436.192</v>
      </c>
      <c r="AB40">
        <v>12072553.609999999</v>
      </c>
      <c r="AC40">
        <v>9464257.3184999991</v>
      </c>
      <c r="AD40">
        <v>11023724.173</v>
      </c>
      <c r="AE40">
        <v>8694074.7524999995</v>
      </c>
      <c r="AF40">
        <v>8909302.8620999996</v>
      </c>
      <c r="AG40">
        <v>8563367.9306000005</v>
      </c>
      <c r="AH40">
        <v>9064234.2419000007</v>
      </c>
    </row>
    <row r="41" spans="1:34" x14ac:dyDescent="0.35">
      <c r="A41" t="s">
        <v>115</v>
      </c>
      <c r="B41" t="s">
        <v>305</v>
      </c>
      <c r="C41">
        <v>44367.020216999998</v>
      </c>
      <c r="D41">
        <v>52946.997429000003</v>
      </c>
      <c r="E41">
        <v>52294.366737999997</v>
      </c>
      <c r="F41">
        <v>41236.566636000003</v>
      </c>
      <c r="G41">
        <v>40036.312071</v>
      </c>
      <c r="H41">
        <v>38922.679639000002</v>
      </c>
      <c r="I41">
        <v>38530.308799999999</v>
      </c>
      <c r="J41">
        <v>30593.957117000002</v>
      </c>
      <c r="AA41">
        <v>13766436.192</v>
      </c>
      <c r="AB41">
        <v>12072553.609999999</v>
      </c>
      <c r="AC41">
        <v>9464257.3184999991</v>
      </c>
      <c r="AD41">
        <v>11023724.173</v>
      </c>
      <c r="AE41">
        <v>8694074.7524999995</v>
      </c>
      <c r="AF41">
        <v>8909302.8620999996</v>
      </c>
      <c r="AG41">
        <v>8563367.9306000005</v>
      </c>
      <c r="AH41">
        <v>9064234.2419000007</v>
      </c>
    </row>
    <row r="42" spans="1:34" x14ac:dyDescent="0.35">
      <c r="A42" t="s">
        <v>50</v>
      </c>
      <c r="B42" t="s">
        <v>4</v>
      </c>
      <c r="C42">
        <v>11265.656564999999</v>
      </c>
      <c r="D42">
        <v>13091.237499999999</v>
      </c>
      <c r="E42">
        <v>13680.327654999999</v>
      </c>
      <c r="F42">
        <v>17780.311044999999</v>
      </c>
      <c r="G42">
        <v>17251.018166999998</v>
      </c>
      <c r="H42">
        <v>17869.987392999999</v>
      </c>
      <c r="I42">
        <v>12359.185949999999</v>
      </c>
      <c r="J42">
        <v>17553.219667000001</v>
      </c>
      <c r="AA42">
        <v>4864975.8262</v>
      </c>
      <c r="AB42">
        <v>4599674.3043999998</v>
      </c>
      <c r="AC42">
        <v>4474961.6542999996</v>
      </c>
      <c r="AD42">
        <v>4610223.6327999998</v>
      </c>
      <c r="AE42">
        <v>4708434.4165000003</v>
      </c>
      <c r="AF42">
        <v>4681260.1982000005</v>
      </c>
      <c r="AG42">
        <v>4868940.2085999995</v>
      </c>
      <c r="AH42">
        <v>4992214.2632999998</v>
      </c>
    </row>
    <row r="43" spans="1:34" x14ac:dyDescent="0.35">
      <c r="A43" t="s">
        <v>117</v>
      </c>
      <c r="B43" t="s">
        <v>307</v>
      </c>
      <c r="F43">
        <v>489.79104545000001</v>
      </c>
      <c r="G43">
        <v>561.55954761999999</v>
      </c>
      <c r="H43">
        <v>602.19086885000002</v>
      </c>
      <c r="I43">
        <v>522.76964999999996</v>
      </c>
      <c r="J43">
        <v>649.7817</v>
      </c>
      <c r="AC43">
        <v>1130059.4454999999</v>
      </c>
      <c r="AD43">
        <v>1138819.5962</v>
      </c>
      <c r="AE43">
        <v>1151959.8223000001</v>
      </c>
      <c r="AF43">
        <v>1178240.2745000001</v>
      </c>
      <c r="AG43">
        <v>1217660.9528999999</v>
      </c>
      <c r="AH43">
        <v>1226421.1036</v>
      </c>
    </row>
    <row r="44" spans="1:34" x14ac:dyDescent="0.35">
      <c r="A44" t="s">
        <v>120</v>
      </c>
      <c r="B44" t="s">
        <v>310</v>
      </c>
      <c r="C44">
        <v>331.10408696000002</v>
      </c>
      <c r="D44">
        <v>483.25123810000002</v>
      </c>
      <c r="E44">
        <v>486.32722951</v>
      </c>
      <c r="F44">
        <v>493.51004545000001</v>
      </c>
      <c r="G44">
        <v>511.64807143000002</v>
      </c>
      <c r="H44">
        <v>556.97368852</v>
      </c>
      <c r="I44">
        <v>319.46704999999997</v>
      </c>
      <c r="J44">
        <v>259.86991667000001</v>
      </c>
      <c r="AA44">
        <v>517976.09801000002</v>
      </c>
      <c r="AB44">
        <v>444278.60953000002</v>
      </c>
      <c r="AC44">
        <v>438897.12076999998</v>
      </c>
      <c r="AD44">
        <v>484502.25533999997</v>
      </c>
      <c r="AE44">
        <v>430947.60190000001</v>
      </c>
      <c r="AF44">
        <v>417558.93854</v>
      </c>
      <c r="AG44">
        <v>397475.94349999999</v>
      </c>
      <c r="AH44">
        <v>407935.83675000002</v>
      </c>
    </row>
    <row r="45" spans="1:34" x14ac:dyDescent="0.35">
      <c r="A45" t="s">
        <v>121</v>
      </c>
      <c r="B45" t="s">
        <v>311</v>
      </c>
      <c r="C45">
        <v>4868.1813043000002</v>
      </c>
      <c r="D45">
        <v>4350.1880000000001</v>
      </c>
      <c r="E45">
        <v>4459.4826556999997</v>
      </c>
      <c r="F45">
        <v>7708.2610000000004</v>
      </c>
      <c r="G45">
        <v>8734.5921904999996</v>
      </c>
      <c r="H45">
        <v>8007.9062623</v>
      </c>
      <c r="I45">
        <v>8731.9144500000002</v>
      </c>
      <c r="J45">
        <v>4644.7805500000004</v>
      </c>
      <c r="AA45">
        <v>2694462.7327999999</v>
      </c>
      <c r="AB45">
        <v>2442070.0211</v>
      </c>
      <c r="AC45">
        <v>1995266.7072000001</v>
      </c>
      <c r="AD45">
        <v>1661016.8998</v>
      </c>
      <c r="AE45">
        <v>1210802.8736</v>
      </c>
      <c r="AF45">
        <v>1313124.2431999999</v>
      </c>
      <c r="AG45">
        <v>1487070.5715000001</v>
      </c>
      <c r="AH45">
        <v>1620088.352</v>
      </c>
    </row>
    <row r="46" spans="1:34" x14ac:dyDescent="0.35">
      <c r="A46" t="s">
        <v>205</v>
      </c>
      <c r="B46" t="s">
        <v>391</v>
      </c>
      <c r="C46">
        <v>3046.6341739</v>
      </c>
      <c r="D46">
        <v>3659.4319048000002</v>
      </c>
      <c r="E46">
        <v>3686.744377</v>
      </c>
      <c r="F46">
        <v>1894.1602273000001</v>
      </c>
      <c r="G46">
        <v>4127.0103095000004</v>
      </c>
      <c r="H46">
        <v>4414.4793115000002</v>
      </c>
      <c r="I46">
        <v>19924.224149999998</v>
      </c>
      <c r="J46">
        <v>10051.922</v>
      </c>
      <c r="AA46">
        <v>298118.88630000001</v>
      </c>
      <c r="AB46">
        <v>279813.34065000003</v>
      </c>
      <c r="AC46">
        <v>239715.47875000001</v>
      </c>
      <c r="AD46">
        <v>278069.95535</v>
      </c>
      <c r="AE46">
        <v>280685.03330000001</v>
      </c>
      <c r="AF46">
        <v>285058.41102</v>
      </c>
      <c r="AG46">
        <v>559655.96291999996</v>
      </c>
      <c r="AH46">
        <v>699134.08452000003</v>
      </c>
    </row>
    <row r="47" spans="1:34" x14ac:dyDescent="0.35">
      <c r="A47" t="s">
        <v>123</v>
      </c>
      <c r="B47" t="s">
        <v>313</v>
      </c>
      <c r="C47">
        <v>22761.047216999999</v>
      </c>
      <c r="D47">
        <v>24269.312619</v>
      </c>
      <c r="E47">
        <v>23588.542950999999</v>
      </c>
      <c r="F47">
        <v>19039.263727000001</v>
      </c>
      <c r="G47">
        <v>19585.629047999999</v>
      </c>
      <c r="H47">
        <v>20589.909179999999</v>
      </c>
      <c r="I47">
        <v>32923.905149999999</v>
      </c>
      <c r="J47">
        <v>30854.805067000001</v>
      </c>
      <c r="AA47">
        <v>3789244.86</v>
      </c>
      <c r="AB47">
        <v>4134313.55</v>
      </c>
      <c r="AC47">
        <v>3053532.37</v>
      </c>
      <c r="AD47">
        <v>3541837.12</v>
      </c>
      <c r="AE47">
        <v>3379068.87</v>
      </c>
      <c r="AF47">
        <v>3131661.13</v>
      </c>
      <c r="AG47">
        <v>2558716.89</v>
      </c>
      <c r="AH47">
        <v>3060043.1</v>
      </c>
    </row>
    <row r="48" spans="1:34" x14ac:dyDescent="0.35">
      <c r="A48" t="s">
        <v>212</v>
      </c>
      <c r="B48" t="s">
        <v>398</v>
      </c>
      <c r="C48">
        <v>114338.13587</v>
      </c>
      <c r="D48">
        <v>114943.58697</v>
      </c>
      <c r="E48">
        <v>123130.30493</v>
      </c>
      <c r="F48">
        <v>100137.53621999999</v>
      </c>
      <c r="G48">
        <v>110990.08395</v>
      </c>
      <c r="H48">
        <v>116127.46245000001</v>
      </c>
      <c r="I48">
        <v>171047.03954999999</v>
      </c>
      <c r="J48">
        <v>160433.08437</v>
      </c>
      <c r="AA48">
        <v>24720333.204</v>
      </c>
      <c r="AB48">
        <v>22258389.816</v>
      </c>
      <c r="AC48">
        <v>20442878.52</v>
      </c>
      <c r="AD48">
        <v>23056029.166999999</v>
      </c>
      <c r="AE48">
        <v>23518355.818999998</v>
      </c>
      <c r="AF48">
        <v>23397748.866</v>
      </c>
      <c r="AG48">
        <v>27036058.613000002</v>
      </c>
      <c r="AH48">
        <v>27096362.089000002</v>
      </c>
    </row>
    <row r="49" spans="1:34" x14ac:dyDescent="0.35">
      <c r="A49" t="s">
        <v>124</v>
      </c>
      <c r="B49" t="s">
        <v>314</v>
      </c>
      <c r="C49">
        <v>38550.746783000002</v>
      </c>
      <c r="D49">
        <v>66593.124429000003</v>
      </c>
      <c r="E49">
        <v>60137.806048999999</v>
      </c>
      <c r="F49">
        <v>39677.380955000001</v>
      </c>
      <c r="G49">
        <v>38192.929786000001</v>
      </c>
      <c r="H49">
        <v>38564.975638999997</v>
      </c>
      <c r="I49">
        <v>44423.924350000001</v>
      </c>
      <c r="J49">
        <v>110689.133</v>
      </c>
      <c r="AA49">
        <v>3973119.8742999998</v>
      </c>
      <c r="AB49">
        <v>3223014.3569</v>
      </c>
      <c r="AC49">
        <v>2347198.5835000002</v>
      </c>
      <c r="AD49">
        <v>3000516.2787000001</v>
      </c>
      <c r="AE49">
        <v>3006608.6974999998</v>
      </c>
      <c r="AF49">
        <v>3190854.8480000002</v>
      </c>
      <c r="AG49">
        <v>3999084.56</v>
      </c>
      <c r="AH49">
        <v>5357150.8419000003</v>
      </c>
    </row>
    <row r="50" spans="1:34" x14ac:dyDescent="0.35">
      <c r="A50" t="s">
        <v>125</v>
      </c>
      <c r="B50" t="s">
        <v>315</v>
      </c>
      <c r="C50">
        <v>40.080391304000003</v>
      </c>
      <c r="D50">
        <v>98.221928571000007</v>
      </c>
      <c r="E50">
        <v>89.369360655999998</v>
      </c>
      <c r="F50">
        <v>37.578181817999997</v>
      </c>
      <c r="G50">
        <v>30.933047619</v>
      </c>
      <c r="H50">
        <v>35.539131148000003</v>
      </c>
      <c r="I50">
        <v>204.79785000000001</v>
      </c>
      <c r="J50">
        <v>153.32775000000001</v>
      </c>
      <c r="AA50">
        <v>1314951.6551999999</v>
      </c>
      <c r="AB50">
        <v>1196466.142</v>
      </c>
      <c r="AC50">
        <v>1175578.6416</v>
      </c>
      <c r="AD50">
        <v>1234633.2446999999</v>
      </c>
      <c r="AE50">
        <v>1250422.4077000001</v>
      </c>
      <c r="AF50">
        <v>1356104.7312</v>
      </c>
      <c r="AG50">
        <v>1526887.0992999999</v>
      </c>
      <c r="AH50">
        <v>1429547.7012</v>
      </c>
    </row>
    <row r="51" spans="1:34" x14ac:dyDescent="0.35">
      <c r="A51" t="s">
        <v>126</v>
      </c>
      <c r="B51" t="s">
        <v>316</v>
      </c>
      <c r="C51">
        <v>34.757782609000003</v>
      </c>
      <c r="D51">
        <v>59.399928570999997</v>
      </c>
      <c r="E51">
        <v>51.179803278999998</v>
      </c>
      <c r="F51">
        <v>29.692272726999999</v>
      </c>
      <c r="G51">
        <v>67.317142856999993</v>
      </c>
      <c r="H51">
        <v>56.561360655999998</v>
      </c>
      <c r="I51">
        <v>87.918000000000006</v>
      </c>
      <c r="J51">
        <v>108.17366665999999</v>
      </c>
      <c r="AA51">
        <v>1314951.6551999999</v>
      </c>
      <c r="AB51">
        <v>1196466.142</v>
      </c>
      <c r="AC51">
        <v>1175578.6416</v>
      </c>
      <c r="AD51">
        <v>1234633.2446999999</v>
      </c>
      <c r="AE51">
        <v>1250422.4077000001</v>
      </c>
      <c r="AF51">
        <v>1356104.7312</v>
      </c>
      <c r="AG51">
        <v>1526887.0992999999</v>
      </c>
      <c r="AH51">
        <v>1429547.7012</v>
      </c>
    </row>
    <row r="52" spans="1:34" x14ac:dyDescent="0.35">
      <c r="A52" t="s">
        <v>127</v>
      </c>
      <c r="B52" t="s">
        <v>317</v>
      </c>
      <c r="C52">
        <v>90.032652174000006</v>
      </c>
      <c r="D52">
        <v>169.41330952000001</v>
      </c>
      <c r="E52">
        <v>157.25760656</v>
      </c>
      <c r="F52">
        <v>140.99745454999999</v>
      </c>
      <c r="G52">
        <v>163.14095237999999</v>
      </c>
      <c r="H52">
        <v>157.63377048999999</v>
      </c>
      <c r="I52">
        <v>207.97915</v>
      </c>
      <c r="J52">
        <v>295.39476667000002</v>
      </c>
      <c r="AA52">
        <v>1314951.6551999999</v>
      </c>
      <c r="AB52">
        <v>1196466.142</v>
      </c>
      <c r="AC52">
        <v>1175578.6416</v>
      </c>
      <c r="AD52">
        <v>1234633.2446999999</v>
      </c>
      <c r="AE52">
        <v>1250422.4077000001</v>
      </c>
      <c r="AF52">
        <v>1356104.7312</v>
      </c>
      <c r="AG52">
        <v>1526887.0992999999</v>
      </c>
      <c r="AH52">
        <v>1429547.7012</v>
      </c>
    </row>
    <row r="53" spans="1:34" x14ac:dyDescent="0.35">
      <c r="A53" t="s">
        <v>175</v>
      </c>
      <c r="B53" t="s">
        <v>362</v>
      </c>
      <c r="C53">
        <v>93.383913043000007</v>
      </c>
      <c r="D53">
        <v>128.32678571</v>
      </c>
      <c r="E53">
        <v>193.34619671999999</v>
      </c>
      <c r="F53">
        <v>557.16331818000003</v>
      </c>
      <c r="G53">
        <v>315.3967619</v>
      </c>
      <c r="H53">
        <v>281.44145902000002</v>
      </c>
      <c r="I53">
        <v>171.18899999999999</v>
      </c>
      <c r="J53">
        <v>703.58024999999998</v>
      </c>
      <c r="AA53">
        <v>522482.3677</v>
      </c>
      <c r="AB53">
        <v>520759.1888</v>
      </c>
      <c r="AC53">
        <v>534762.95629999996</v>
      </c>
      <c r="AD53">
        <v>542958.31162000005</v>
      </c>
      <c r="AE53">
        <v>530817.09065999999</v>
      </c>
      <c r="AF53">
        <v>555670.88370000001</v>
      </c>
      <c r="AG53">
        <v>564857.69484000001</v>
      </c>
      <c r="AH53">
        <v>571363.05911999999</v>
      </c>
    </row>
    <row r="54" spans="1:34" x14ac:dyDescent="0.35">
      <c r="A54" t="s">
        <v>473</v>
      </c>
      <c r="B54" t="s">
        <v>487</v>
      </c>
      <c r="C54">
        <v>23139.466174000001</v>
      </c>
      <c r="D54">
        <v>21795.733452</v>
      </c>
      <c r="E54">
        <v>19536.343311000001</v>
      </c>
      <c r="F54">
        <v>9370.7427272999994</v>
      </c>
      <c r="G54">
        <v>26113.305690000001</v>
      </c>
      <c r="H54">
        <v>27110.410672000002</v>
      </c>
      <c r="I54">
        <v>2887.5942500000001</v>
      </c>
      <c r="J54">
        <v>0</v>
      </c>
      <c r="AA54">
        <v>1798452.3942</v>
      </c>
      <c r="AB54">
        <v>1834158.3455999999</v>
      </c>
      <c r="AC54">
        <v>1849192.4304</v>
      </c>
      <c r="AD54">
        <v>1909328.7696</v>
      </c>
      <c r="AE54">
        <v>1950672.5027999999</v>
      </c>
      <c r="AF54">
        <v>1967585.8481999999</v>
      </c>
      <c r="AG54">
        <v>1975102.8906</v>
      </c>
    </row>
    <row r="55" spans="1:34" x14ac:dyDescent="0.35">
      <c r="A55" t="s">
        <v>128</v>
      </c>
      <c r="B55" t="s">
        <v>318</v>
      </c>
      <c r="C55">
        <v>17.000913043000001</v>
      </c>
      <c r="D55">
        <v>14.690309523</v>
      </c>
      <c r="E55">
        <v>10.985540983</v>
      </c>
      <c r="F55">
        <v>16.543454544999999</v>
      </c>
      <c r="G55">
        <v>10.869333333</v>
      </c>
      <c r="H55">
        <v>8.5944098361000005</v>
      </c>
      <c r="I55">
        <v>3.0355500000000002</v>
      </c>
      <c r="J55">
        <v>14.478583333</v>
      </c>
      <c r="AA55">
        <v>2982323.24</v>
      </c>
      <c r="AB55">
        <v>3074872.6</v>
      </c>
      <c r="AC55">
        <v>3048516.6549999998</v>
      </c>
      <c r="AD55">
        <v>3028498.76</v>
      </c>
      <c r="AE55">
        <v>3015078.96</v>
      </c>
      <c r="AF55">
        <v>3000576.8857</v>
      </c>
      <c r="AG55">
        <v>3105553.24</v>
      </c>
      <c r="AH55">
        <v>3659341.52</v>
      </c>
    </row>
    <row r="56" spans="1:34" x14ac:dyDescent="0.35">
      <c r="A56" t="s">
        <v>129</v>
      </c>
      <c r="B56" t="s">
        <v>319</v>
      </c>
      <c r="C56">
        <v>174.00378261</v>
      </c>
      <c r="D56">
        <v>197.422</v>
      </c>
      <c r="E56">
        <v>234.66965574</v>
      </c>
      <c r="F56">
        <v>286.09627273000001</v>
      </c>
      <c r="G56">
        <v>213.34826190000001</v>
      </c>
      <c r="H56">
        <v>235.60934426</v>
      </c>
      <c r="I56">
        <v>288.96929999999998</v>
      </c>
      <c r="J56">
        <v>596.02628332999996</v>
      </c>
      <c r="AA56">
        <v>2982323.24</v>
      </c>
      <c r="AB56">
        <v>3074872.6</v>
      </c>
      <c r="AC56">
        <v>3048516.6549999998</v>
      </c>
      <c r="AD56">
        <v>3028498.76</v>
      </c>
      <c r="AE56">
        <v>3015078.96</v>
      </c>
      <c r="AF56">
        <v>3000576.8857</v>
      </c>
      <c r="AG56">
        <v>3105553.24</v>
      </c>
      <c r="AH56">
        <v>3659341.52</v>
      </c>
    </row>
    <row r="57" spans="1:34" x14ac:dyDescent="0.35">
      <c r="A57" t="s">
        <v>130</v>
      </c>
      <c r="B57" t="s">
        <v>320</v>
      </c>
      <c r="C57">
        <v>118539.77456000001</v>
      </c>
      <c r="D57">
        <v>151303.22889999999</v>
      </c>
      <c r="E57">
        <v>152399.93935999999</v>
      </c>
      <c r="F57">
        <v>135748.00091</v>
      </c>
      <c r="G57">
        <v>126971.28565999999</v>
      </c>
      <c r="H57">
        <v>142095.23951000001</v>
      </c>
      <c r="I57">
        <v>181590.3358</v>
      </c>
      <c r="J57">
        <v>117440.75235</v>
      </c>
      <c r="AA57">
        <v>35529684.619999997</v>
      </c>
      <c r="AB57">
        <v>37007582</v>
      </c>
      <c r="AC57">
        <v>35145544.060000002</v>
      </c>
      <c r="AD57">
        <v>35270865.880000003</v>
      </c>
      <c r="AE57">
        <v>35957604.280000001</v>
      </c>
      <c r="AF57">
        <v>33679021.380000003</v>
      </c>
      <c r="AG57">
        <v>35423571.479999997</v>
      </c>
      <c r="AH57">
        <v>37211000.859999999</v>
      </c>
    </row>
    <row r="58" spans="1:34" x14ac:dyDescent="0.35">
      <c r="A58" t="s">
        <v>141</v>
      </c>
      <c r="B58" t="s">
        <v>331</v>
      </c>
      <c r="C58">
        <v>49698.215521999999</v>
      </c>
      <c r="D58">
        <v>50264.37831</v>
      </c>
      <c r="E58">
        <v>47793.500459000003</v>
      </c>
      <c r="F58">
        <v>42528.438455000003</v>
      </c>
      <c r="G58">
        <v>36859.172832999997</v>
      </c>
      <c r="H58">
        <v>40834.808803</v>
      </c>
      <c r="I58">
        <v>45576.525199999996</v>
      </c>
      <c r="J58">
        <v>37221.954417000001</v>
      </c>
      <c r="AA58">
        <v>33732996.581</v>
      </c>
      <c r="AB58">
        <v>28681195.160999998</v>
      </c>
      <c r="AC58">
        <v>27975029.370999999</v>
      </c>
      <c r="AD58">
        <v>30202167.631000001</v>
      </c>
      <c r="AE58">
        <v>27703427.144000001</v>
      </c>
      <c r="AF58">
        <v>33624355.689999998</v>
      </c>
      <c r="AG58">
        <v>33352753.463</v>
      </c>
      <c r="AH58">
        <v>27431824.916999999</v>
      </c>
    </row>
    <row r="59" spans="1:34" x14ac:dyDescent="0.35">
      <c r="A59" t="s">
        <v>131</v>
      </c>
      <c r="B59" t="s">
        <v>321</v>
      </c>
      <c r="C59">
        <v>1.0184347826</v>
      </c>
      <c r="D59">
        <v>0.69580952381000005</v>
      </c>
      <c r="E59">
        <v>0.61509836066000001</v>
      </c>
      <c r="F59">
        <v>0.11363636363</v>
      </c>
      <c r="G59">
        <v>0.25119047619000001</v>
      </c>
      <c r="H59">
        <v>0.54470491802999998</v>
      </c>
      <c r="I59">
        <v>0.3755</v>
      </c>
      <c r="J59">
        <v>0.79069999999999996</v>
      </c>
      <c r="AA59">
        <v>2174377.7842999999</v>
      </c>
      <c r="AB59">
        <v>2210756.1285000001</v>
      </c>
      <c r="AC59">
        <v>1999994.4898999999</v>
      </c>
      <c r="AD59">
        <v>1927020.2514</v>
      </c>
      <c r="AE59">
        <v>2085615.7677</v>
      </c>
      <c r="AF59">
        <v>1948210.5325</v>
      </c>
      <c r="AG59">
        <v>1881713.5453000001</v>
      </c>
      <c r="AH59">
        <v>2029734.1096999999</v>
      </c>
    </row>
    <row r="60" spans="1:34" x14ac:dyDescent="0.35">
      <c r="A60" t="s">
        <v>132</v>
      </c>
      <c r="B60" t="s">
        <v>322</v>
      </c>
      <c r="C60">
        <v>351.01230435000002</v>
      </c>
      <c r="D60">
        <v>2383.6919524</v>
      </c>
      <c r="E60">
        <v>1819.0416066</v>
      </c>
      <c r="F60">
        <v>295.10118182000002</v>
      </c>
      <c r="G60">
        <v>229.3185</v>
      </c>
      <c r="H60">
        <v>349.34740984000001</v>
      </c>
      <c r="I60">
        <v>209.7474</v>
      </c>
      <c r="J60">
        <v>673.77728333000005</v>
      </c>
      <c r="AA60">
        <v>2174377.7842999999</v>
      </c>
      <c r="AB60">
        <v>2210756.1285000001</v>
      </c>
      <c r="AC60">
        <v>1999994.4898999999</v>
      </c>
      <c r="AD60">
        <v>1927020.2514</v>
      </c>
      <c r="AE60">
        <v>2085615.7677</v>
      </c>
      <c r="AF60">
        <v>1948210.5325</v>
      </c>
      <c r="AG60">
        <v>1881713.5453000001</v>
      </c>
      <c r="AH60">
        <v>2029734.1096999999</v>
      </c>
    </row>
    <row r="61" spans="1:34" x14ac:dyDescent="0.35">
      <c r="A61" t="s">
        <v>58</v>
      </c>
      <c r="B61" t="s">
        <v>12</v>
      </c>
      <c r="C61">
        <v>45247.622477999997</v>
      </c>
      <c r="D61">
        <v>56352.375118999997</v>
      </c>
      <c r="E61">
        <v>56415.669179999997</v>
      </c>
      <c r="F61">
        <v>42026.131954999997</v>
      </c>
      <c r="G61">
        <v>59794.189166999997</v>
      </c>
      <c r="H61">
        <v>70906.474180000005</v>
      </c>
      <c r="I61">
        <v>153660.73809999999</v>
      </c>
      <c r="J61">
        <v>93466.411032999997</v>
      </c>
      <c r="AA61">
        <v>2641260.8184000002</v>
      </c>
      <c r="AB61">
        <v>2416472.6636999999</v>
      </c>
      <c r="AC61">
        <v>2010332.0617</v>
      </c>
      <c r="AD61">
        <v>2563634.4640000002</v>
      </c>
      <c r="AE61">
        <v>2803398.8382999999</v>
      </c>
      <c r="AF61">
        <v>3779311.7500999998</v>
      </c>
      <c r="AG61">
        <v>4665370.4857000001</v>
      </c>
      <c r="AH61">
        <v>5370600.9079999998</v>
      </c>
    </row>
    <row r="62" spans="1:34" x14ac:dyDescent="0.35">
      <c r="A62" t="s">
        <v>138</v>
      </c>
      <c r="B62" t="s">
        <v>328</v>
      </c>
      <c r="C62">
        <v>71470.204826000001</v>
      </c>
      <c r="D62">
        <v>64185.036714000002</v>
      </c>
      <c r="E62">
        <v>61062.456295000004</v>
      </c>
      <c r="F62">
        <v>53376.330135999997</v>
      </c>
      <c r="G62">
        <v>69009.800310000006</v>
      </c>
      <c r="H62">
        <v>77736.103491999995</v>
      </c>
      <c r="I62">
        <v>67356.240900000004</v>
      </c>
      <c r="J62">
        <v>94227.669833000007</v>
      </c>
      <c r="AA62">
        <v>37759377.998999998</v>
      </c>
      <c r="AB62">
        <v>37586539.832999997</v>
      </c>
      <c r="AC62">
        <v>36399717.759999998</v>
      </c>
      <c r="AD62">
        <v>39660597.825000003</v>
      </c>
      <c r="AE62">
        <v>40421085.755000003</v>
      </c>
      <c r="AF62">
        <v>43439992.387999997</v>
      </c>
      <c r="AG62">
        <v>44004597.064000003</v>
      </c>
      <c r="AH62">
        <v>46654782.276000001</v>
      </c>
    </row>
    <row r="63" spans="1:34" x14ac:dyDescent="0.35">
      <c r="A63" t="s">
        <v>135</v>
      </c>
      <c r="B63" t="s">
        <v>325</v>
      </c>
      <c r="C63">
        <v>49603.716522000002</v>
      </c>
      <c r="D63">
        <v>59174.091856999999</v>
      </c>
      <c r="E63">
        <v>60225.237720999998</v>
      </c>
      <c r="F63">
        <v>54902.454136</v>
      </c>
      <c r="G63">
        <v>50572.17</v>
      </c>
      <c r="H63">
        <v>46687.708262</v>
      </c>
      <c r="I63">
        <v>65462.068149999999</v>
      </c>
      <c r="J63">
        <v>104136.30381</v>
      </c>
      <c r="AA63">
        <v>27834712.188000001</v>
      </c>
      <c r="AB63">
        <v>27694662.405000001</v>
      </c>
      <c r="AC63">
        <v>26062177.212000001</v>
      </c>
      <c r="AD63">
        <v>27978635.519000001</v>
      </c>
      <c r="AE63">
        <v>28144745.892999999</v>
      </c>
      <c r="AF63">
        <v>29565973.978</v>
      </c>
      <c r="AG63">
        <v>32822228.579999998</v>
      </c>
      <c r="AH63">
        <v>36314489.758000001</v>
      </c>
    </row>
    <row r="64" spans="1:34" x14ac:dyDescent="0.35">
      <c r="A64" t="s">
        <v>136</v>
      </c>
      <c r="B64" t="s">
        <v>326</v>
      </c>
      <c r="C64">
        <v>156788.98147999999</v>
      </c>
      <c r="D64">
        <v>171379.16456999999</v>
      </c>
      <c r="E64">
        <v>179203.44162</v>
      </c>
      <c r="F64">
        <v>135734.62122999999</v>
      </c>
      <c r="G64">
        <v>135983.64157000001</v>
      </c>
      <c r="H64">
        <v>134921.35537999999</v>
      </c>
      <c r="I64">
        <v>181927.57269999999</v>
      </c>
      <c r="J64">
        <v>69192.578383</v>
      </c>
      <c r="AA64">
        <v>27834712.188000001</v>
      </c>
      <c r="AB64">
        <v>27694662.405000001</v>
      </c>
      <c r="AC64">
        <v>26062177.212000001</v>
      </c>
      <c r="AD64">
        <v>27978635.519000001</v>
      </c>
      <c r="AE64">
        <v>28144745.892999999</v>
      </c>
      <c r="AF64">
        <v>29565973.978</v>
      </c>
      <c r="AG64">
        <v>32822228.579999998</v>
      </c>
      <c r="AH64">
        <v>36314489.758000001</v>
      </c>
    </row>
    <row r="65" spans="1:34" x14ac:dyDescent="0.35">
      <c r="A65" t="s">
        <v>474</v>
      </c>
      <c r="B65" t="s">
        <v>488</v>
      </c>
      <c r="C65">
        <v>89691.257043000005</v>
      </c>
      <c r="D65">
        <v>110701.85459</v>
      </c>
      <c r="E65">
        <v>104363.69085</v>
      </c>
      <c r="F65">
        <v>88158.716272999998</v>
      </c>
      <c r="G65">
        <v>139603.29183</v>
      </c>
      <c r="H65">
        <v>115771.03862000001</v>
      </c>
      <c r="I65">
        <v>349171.7977</v>
      </c>
      <c r="J65">
        <v>0</v>
      </c>
      <c r="AA65">
        <v>15796834.765000001</v>
      </c>
      <c r="AB65">
        <v>13497962.949999999</v>
      </c>
      <c r="AC65">
        <v>11452177.939999999</v>
      </c>
      <c r="AD65">
        <v>13244876.145</v>
      </c>
      <c r="AE65">
        <v>15290661.153999999</v>
      </c>
      <c r="AF65">
        <v>15290661.153999999</v>
      </c>
      <c r="AG65">
        <v>18032434.879000001</v>
      </c>
      <c r="AH65">
        <v>17884800.909000002</v>
      </c>
    </row>
    <row r="66" spans="1:34" x14ac:dyDescent="0.35">
      <c r="A66" t="s">
        <v>139</v>
      </c>
      <c r="B66" t="s">
        <v>329</v>
      </c>
      <c r="C66">
        <v>66.181086957000005</v>
      </c>
      <c r="D66">
        <v>55.058833333000003</v>
      </c>
      <c r="E66">
        <v>48.774032787000003</v>
      </c>
      <c r="F66">
        <v>32.420227273000002</v>
      </c>
      <c r="G66">
        <v>30.308357142999999</v>
      </c>
      <c r="H66">
        <v>29.651229508</v>
      </c>
      <c r="I66">
        <v>31.21895</v>
      </c>
      <c r="J66">
        <v>115.25015</v>
      </c>
      <c r="AA66">
        <v>750346.34016999998</v>
      </c>
      <c r="AB66">
        <v>649550.32860000001</v>
      </c>
      <c r="AC66">
        <v>595250.96865000005</v>
      </c>
      <c r="AD66">
        <v>574369.39306000003</v>
      </c>
      <c r="AE66">
        <v>555210.76563000004</v>
      </c>
      <c r="AF66">
        <v>547937.31562000001</v>
      </c>
      <c r="AG66">
        <v>605378.73017999995</v>
      </c>
      <c r="AH66">
        <v>629624.85536000005</v>
      </c>
    </row>
    <row r="67" spans="1:34" x14ac:dyDescent="0.35">
      <c r="A67" t="s">
        <v>140</v>
      </c>
      <c r="B67" t="s">
        <v>330</v>
      </c>
      <c r="C67">
        <v>9.6661304347999994</v>
      </c>
      <c r="D67">
        <v>7.3620476190000002</v>
      </c>
      <c r="E67">
        <v>8.1661967213000004</v>
      </c>
      <c r="F67">
        <v>5.4126818182000003</v>
      </c>
      <c r="G67">
        <v>5.1082857143</v>
      </c>
      <c r="H67">
        <v>5.0315737704999997</v>
      </c>
      <c r="I67">
        <v>2.8374999999999999</v>
      </c>
      <c r="J67">
        <v>10.152100000000001</v>
      </c>
      <c r="AA67">
        <v>750346.34016999998</v>
      </c>
      <c r="AB67">
        <v>649550.32860000001</v>
      </c>
      <c r="AC67">
        <v>595250.96865000005</v>
      </c>
      <c r="AD67">
        <v>574369.39306000003</v>
      </c>
      <c r="AE67">
        <v>555210.76563000004</v>
      </c>
      <c r="AF67">
        <v>547937.31562000001</v>
      </c>
      <c r="AG67">
        <v>605378.73017999995</v>
      </c>
      <c r="AH67">
        <v>629624.85536000005</v>
      </c>
    </row>
    <row r="68" spans="1:34" x14ac:dyDescent="0.35">
      <c r="A68" t="s">
        <v>59</v>
      </c>
      <c r="B68" t="s">
        <v>13</v>
      </c>
      <c r="C68">
        <v>132531.03208999999</v>
      </c>
      <c r="D68">
        <v>150365.24512000001</v>
      </c>
      <c r="E68">
        <v>155690.67111</v>
      </c>
      <c r="F68">
        <v>177049.27041</v>
      </c>
      <c r="G68">
        <v>215342.84654999999</v>
      </c>
      <c r="H68">
        <v>192243.40148999999</v>
      </c>
      <c r="I68">
        <v>134156.12065</v>
      </c>
      <c r="J68">
        <v>203187.02655000001</v>
      </c>
      <c r="AA68">
        <v>22046113.022999998</v>
      </c>
      <c r="AB68">
        <v>19005913.002999999</v>
      </c>
      <c r="AC68">
        <v>15200635.41</v>
      </c>
      <c r="AD68">
        <v>14958468.425000001</v>
      </c>
      <c r="AE68">
        <v>13207414.835999999</v>
      </c>
      <c r="AF68">
        <v>13735386.49</v>
      </c>
      <c r="AG68">
        <v>14441671.586999999</v>
      </c>
      <c r="AH68">
        <v>15296648.284</v>
      </c>
    </row>
    <row r="69" spans="1:34" x14ac:dyDescent="0.35">
      <c r="A69" t="s">
        <v>134</v>
      </c>
      <c r="B69" t="s">
        <v>324</v>
      </c>
      <c r="C69">
        <v>27013.240870000001</v>
      </c>
      <c r="D69">
        <v>41061.222262000003</v>
      </c>
      <c r="E69">
        <v>40728.35</v>
      </c>
      <c r="F69">
        <v>36947.035682000002</v>
      </c>
      <c r="G69">
        <v>36659.721548000001</v>
      </c>
      <c r="H69">
        <v>39745.504262000002</v>
      </c>
      <c r="I69">
        <v>41374.373500000002</v>
      </c>
      <c r="J69">
        <v>89990.274716999993</v>
      </c>
      <c r="AA69">
        <v>8740122.0500000007</v>
      </c>
      <c r="AB69">
        <v>9623613.7799999993</v>
      </c>
      <c r="AC69">
        <v>7894548.4199999999</v>
      </c>
      <c r="AD69">
        <v>8512613.4499999993</v>
      </c>
      <c r="AE69">
        <v>8823541.8699999992</v>
      </c>
      <c r="AF69">
        <v>7488824.75</v>
      </c>
      <c r="AG69">
        <v>8129640.6399999997</v>
      </c>
      <c r="AH69">
        <v>9054842.2799999993</v>
      </c>
    </row>
    <row r="70" spans="1:34" x14ac:dyDescent="0.35">
      <c r="A70" t="s">
        <v>252</v>
      </c>
      <c r="B70" t="s">
        <v>437</v>
      </c>
      <c r="C70">
        <v>90351.712348000001</v>
      </c>
      <c r="D70">
        <v>103751.30709</v>
      </c>
      <c r="E70">
        <v>103604.28741</v>
      </c>
      <c r="F70">
        <v>106862.79876999999</v>
      </c>
      <c r="G70">
        <v>128258.4755</v>
      </c>
      <c r="H70">
        <v>124152.60165</v>
      </c>
      <c r="I70">
        <v>97353.720700000005</v>
      </c>
      <c r="J70">
        <v>76339.249267000007</v>
      </c>
      <c r="AA70">
        <v>15608125.755999999</v>
      </c>
      <c r="AB70">
        <v>14799208.448000001</v>
      </c>
      <c r="AC70">
        <v>11749192.369999999</v>
      </c>
      <c r="AD70">
        <v>12266369.009</v>
      </c>
      <c r="AE70">
        <v>11298320.427999999</v>
      </c>
      <c r="AF70">
        <v>12558109.677999999</v>
      </c>
      <c r="AG70">
        <v>12332673.707</v>
      </c>
      <c r="AH70">
        <v>10940275.062000001</v>
      </c>
    </row>
    <row r="71" spans="1:34" x14ac:dyDescent="0.35">
      <c r="A71" t="s">
        <v>142</v>
      </c>
      <c r="B71" t="s">
        <v>332</v>
      </c>
      <c r="C71">
        <v>568.38334783000005</v>
      </c>
      <c r="D71">
        <v>736.81111905</v>
      </c>
      <c r="E71">
        <v>800.74527868999996</v>
      </c>
      <c r="F71">
        <v>646.52881818000003</v>
      </c>
      <c r="G71">
        <v>601.54926190000003</v>
      </c>
      <c r="H71">
        <v>763.88636066000004</v>
      </c>
      <c r="I71">
        <v>808.35775000000001</v>
      </c>
      <c r="J71">
        <v>922.98713333000001</v>
      </c>
      <c r="AA71">
        <v>730673.7</v>
      </c>
      <c r="AB71">
        <v>659257.56999999995</v>
      </c>
      <c r="AC71">
        <v>635727.4</v>
      </c>
      <c r="AD71">
        <v>663798.48</v>
      </c>
      <c r="AE71">
        <v>691456.75</v>
      </c>
      <c r="AF71">
        <v>694759.23</v>
      </c>
      <c r="AG71">
        <v>708794.77</v>
      </c>
      <c r="AH71">
        <v>747186.1</v>
      </c>
    </row>
    <row r="72" spans="1:34" x14ac:dyDescent="0.35">
      <c r="A72" t="s">
        <v>137</v>
      </c>
      <c r="B72" t="s">
        <v>327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</row>
    <row r="73" spans="1:34" x14ac:dyDescent="0.35">
      <c r="A73" t="s">
        <v>143</v>
      </c>
      <c r="B73" t="s">
        <v>333</v>
      </c>
      <c r="C73">
        <v>56520.548738999998</v>
      </c>
      <c r="D73">
        <v>50137.150024000002</v>
      </c>
      <c r="E73">
        <v>50332.340869</v>
      </c>
      <c r="F73">
        <v>39765.037772999996</v>
      </c>
      <c r="G73">
        <v>41867.013048000001</v>
      </c>
      <c r="H73">
        <v>43074.733851999998</v>
      </c>
      <c r="I73">
        <v>54361.7235</v>
      </c>
      <c r="J73">
        <v>87776.353499999997</v>
      </c>
      <c r="AA73">
        <v>7084771.9987000003</v>
      </c>
      <c r="AB73">
        <v>5960020.9612999996</v>
      </c>
      <c r="AC73">
        <v>5061379.6684999997</v>
      </c>
      <c r="AD73">
        <v>6203523.7631999999</v>
      </c>
      <c r="AE73">
        <v>6148445.7484999998</v>
      </c>
      <c r="AF73">
        <v>7116659.2703999998</v>
      </c>
      <c r="AG73">
        <v>7986312.1343999999</v>
      </c>
      <c r="AH73">
        <v>8308083.6941</v>
      </c>
    </row>
    <row r="74" spans="1:34" x14ac:dyDescent="0.35">
      <c r="A74" t="s">
        <v>60</v>
      </c>
      <c r="B74" t="s">
        <v>14</v>
      </c>
      <c r="C74">
        <v>24304.328783000001</v>
      </c>
      <c r="D74">
        <v>49694.622928999997</v>
      </c>
      <c r="E74">
        <v>53858.676360999998</v>
      </c>
      <c r="F74">
        <v>36192.776955000001</v>
      </c>
      <c r="G74">
        <v>35951.905786000003</v>
      </c>
      <c r="H74">
        <v>39244.565984000001</v>
      </c>
      <c r="I74">
        <v>41315.180699999997</v>
      </c>
      <c r="J74">
        <v>21551.212299999999</v>
      </c>
      <c r="AA74">
        <v>1077444.6805</v>
      </c>
      <c r="AB74">
        <v>1261398.6503999999</v>
      </c>
      <c r="AC74">
        <v>725304.22398000001</v>
      </c>
      <c r="AD74">
        <v>1024886.4034</v>
      </c>
      <c r="AE74">
        <v>909258.19383</v>
      </c>
      <c r="AF74">
        <v>1112525.9065</v>
      </c>
      <c r="AG74">
        <v>1138764.7250999999</v>
      </c>
      <c r="AH74">
        <v>1243719.9993</v>
      </c>
    </row>
    <row r="75" spans="1:34" x14ac:dyDescent="0.35">
      <c r="A75" t="s">
        <v>119</v>
      </c>
      <c r="B75" t="s">
        <v>309</v>
      </c>
      <c r="C75">
        <v>48416.929738999999</v>
      </c>
      <c r="D75">
        <v>51853.020810000002</v>
      </c>
      <c r="E75">
        <v>66587.620016000001</v>
      </c>
      <c r="F75">
        <v>48705.818317999998</v>
      </c>
      <c r="G75">
        <v>54681.648929000003</v>
      </c>
      <c r="H75">
        <v>67277.165475000002</v>
      </c>
      <c r="I75">
        <v>73708.248600000006</v>
      </c>
      <c r="J75">
        <v>55712.124683000002</v>
      </c>
      <c r="AA75">
        <v>43200000</v>
      </c>
      <c r="AB75">
        <v>43590000</v>
      </c>
      <c r="AC75">
        <v>42750000</v>
      </c>
      <c r="AD75">
        <v>43950000</v>
      </c>
      <c r="AE75">
        <v>45600000</v>
      </c>
      <c r="AF75">
        <v>44730000</v>
      </c>
      <c r="AG75">
        <v>49080000</v>
      </c>
      <c r="AH75">
        <v>45210000</v>
      </c>
    </row>
    <row r="76" spans="1:34" x14ac:dyDescent="0.35">
      <c r="A76" t="s">
        <v>144</v>
      </c>
      <c r="B76" t="s">
        <v>334</v>
      </c>
      <c r="C76">
        <v>128208.62952</v>
      </c>
      <c r="D76">
        <v>134669.66811999999</v>
      </c>
      <c r="E76">
        <v>146490.73415</v>
      </c>
      <c r="F76">
        <v>107537.03831</v>
      </c>
      <c r="G76">
        <v>110262.53535000001</v>
      </c>
      <c r="H76">
        <v>117532.4166</v>
      </c>
      <c r="I76">
        <v>151378.23929999999</v>
      </c>
      <c r="J76">
        <v>164033.67655</v>
      </c>
      <c r="AA76">
        <v>8150782.54</v>
      </c>
      <c r="AB76">
        <v>6898546.4000000004</v>
      </c>
      <c r="AC76">
        <v>6212717.4000000004</v>
      </c>
      <c r="AD76">
        <v>7469922.1600000001</v>
      </c>
      <c r="AE76">
        <v>7605539</v>
      </c>
      <c r="AF76">
        <v>8754832.9000000004</v>
      </c>
      <c r="AG76">
        <v>9080849.6899999995</v>
      </c>
      <c r="AH76">
        <v>9146785.6699999999</v>
      </c>
    </row>
    <row r="77" spans="1:34" x14ac:dyDescent="0.35">
      <c r="A77" t="s">
        <v>146</v>
      </c>
      <c r="B77" t="s">
        <v>336</v>
      </c>
      <c r="C77">
        <v>1971.4742609</v>
      </c>
      <c r="D77">
        <v>2056.4048570999998</v>
      </c>
      <c r="E77">
        <v>2090.2746885000001</v>
      </c>
      <c r="F77">
        <v>1680.2295455000001</v>
      </c>
      <c r="G77">
        <v>1553.7278094999999</v>
      </c>
      <c r="H77">
        <v>1639.7230328000001</v>
      </c>
      <c r="I77">
        <v>838.96979999999996</v>
      </c>
      <c r="J77">
        <v>6761.6324167000002</v>
      </c>
      <c r="AA77">
        <v>1980710.9491000001</v>
      </c>
      <c r="AB77">
        <v>2824197.4604000002</v>
      </c>
      <c r="AC77">
        <v>2374325.2985999999</v>
      </c>
      <c r="AD77">
        <v>2349332.4007000001</v>
      </c>
      <c r="AE77">
        <v>2086906.973</v>
      </c>
      <c r="AF77">
        <v>2299346.605</v>
      </c>
      <c r="AG77">
        <v>2199375.0134000001</v>
      </c>
      <c r="AH77">
        <v>1986935.3814999999</v>
      </c>
    </row>
    <row r="78" spans="1:34" x14ac:dyDescent="0.35">
      <c r="A78" t="s">
        <v>147</v>
      </c>
      <c r="B78" t="s">
        <v>337</v>
      </c>
      <c r="C78">
        <v>1693.7809999999999</v>
      </c>
      <c r="D78">
        <v>1800.651619</v>
      </c>
      <c r="E78">
        <v>1844.7914426</v>
      </c>
      <c r="F78">
        <v>2306.3602273000001</v>
      </c>
      <c r="G78">
        <v>2346.6266190000001</v>
      </c>
      <c r="H78">
        <v>2441.0372130999999</v>
      </c>
      <c r="I78">
        <v>2971.3308000000002</v>
      </c>
      <c r="J78">
        <v>16026.683867</v>
      </c>
      <c r="AA78">
        <v>1537301.16</v>
      </c>
      <c r="AB78">
        <v>1480748.79</v>
      </c>
      <c r="AC78">
        <v>1208226.9224</v>
      </c>
      <c r="AD78">
        <v>1178194.5131999999</v>
      </c>
      <c r="AE78">
        <v>945056.71707999997</v>
      </c>
      <c r="AF78">
        <v>910954.43602000002</v>
      </c>
      <c r="AG78">
        <v>1068374.7705999999</v>
      </c>
      <c r="AH78">
        <v>1094997.3271999999</v>
      </c>
    </row>
    <row r="79" spans="1:34" x14ac:dyDescent="0.35">
      <c r="A79" t="s">
        <v>149</v>
      </c>
      <c r="B79" t="s">
        <v>339</v>
      </c>
      <c r="C79">
        <v>504.78899999999999</v>
      </c>
      <c r="D79">
        <v>685.46083333000001</v>
      </c>
      <c r="E79">
        <v>740.79513114999997</v>
      </c>
      <c r="F79">
        <v>607.62972726999999</v>
      </c>
      <c r="G79">
        <v>610.99285713999996</v>
      </c>
      <c r="H79">
        <v>647.55455738000001</v>
      </c>
      <c r="I79">
        <v>793.20585000000005</v>
      </c>
      <c r="J79">
        <v>1162.0186667</v>
      </c>
      <c r="AA79">
        <v>956845.18714000005</v>
      </c>
      <c r="AB79">
        <v>897146.89286000002</v>
      </c>
      <c r="AC79">
        <v>909440.31655999995</v>
      </c>
      <c r="AD79">
        <v>960631.45374000003</v>
      </c>
      <c r="AE79">
        <v>866772.29868000001</v>
      </c>
      <c r="AF79">
        <v>844020.66839999997</v>
      </c>
      <c r="AG79">
        <v>868529.69310000003</v>
      </c>
      <c r="AH79">
        <v>1014123.2733999999</v>
      </c>
    </row>
    <row r="80" spans="1:34" x14ac:dyDescent="0.35">
      <c r="A80" t="s">
        <v>151</v>
      </c>
      <c r="B80" t="s">
        <v>341</v>
      </c>
      <c r="C80">
        <v>51851.678913000003</v>
      </c>
      <c r="D80">
        <v>58276.449356999998</v>
      </c>
      <c r="E80">
        <v>65311.966492</v>
      </c>
      <c r="F80">
        <v>56378.729818</v>
      </c>
      <c r="G80">
        <v>53694.198951999999</v>
      </c>
      <c r="H80">
        <v>56477.301442999997</v>
      </c>
      <c r="I80">
        <v>68254.599300000002</v>
      </c>
      <c r="J80">
        <v>103148.95508</v>
      </c>
      <c r="AA80">
        <v>5419587.0323999999</v>
      </c>
      <c r="AB80">
        <v>5015890.1721999999</v>
      </c>
      <c r="AC80">
        <v>4601583.5291999998</v>
      </c>
      <c r="AD80">
        <v>4964866.4393999996</v>
      </c>
      <c r="AE80">
        <v>5077311.1497</v>
      </c>
      <c r="AF80">
        <v>5448003.5652999999</v>
      </c>
      <c r="AG80">
        <v>6300824.9950999999</v>
      </c>
      <c r="AH80">
        <v>7047910.4347000001</v>
      </c>
    </row>
    <row r="81" spans="1:34" x14ac:dyDescent="0.35">
      <c r="A81" t="s">
        <v>145</v>
      </c>
      <c r="B81" t="s">
        <v>335</v>
      </c>
      <c r="C81">
        <v>742.70843477999995</v>
      </c>
      <c r="D81">
        <v>756.86461904999999</v>
      </c>
      <c r="E81">
        <v>655.70552458999998</v>
      </c>
      <c r="F81">
        <v>324.56222726999999</v>
      </c>
      <c r="G81">
        <v>406.48804761999997</v>
      </c>
      <c r="H81">
        <v>431.75939344</v>
      </c>
      <c r="I81">
        <v>546.79165</v>
      </c>
      <c r="J81">
        <v>392.36385000000001</v>
      </c>
      <c r="AA81">
        <v>361305.42</v>
      </c>
      <c r="AB81">
        <v>313232.57</v>
      </c>
      <c r="AC81">
        <v>311208.45</v>
      </c>
      <c r="AD81">
        <v>289449.15999999997</v>
      </c>
      <c r="AE81">
        <v>281858.71000000002</v>
      </c>
      <c r="AF81">
        <v>274268.26</v>
      </c>
      <c r="AG81">
        <v>309690.36</v>
      </c>
      <c r="AH81">
        <v>273256.2</v>
      </c>
    </row>
    <row r="82" spans="1:34" x14ac:dyDescent="0.35">
      <c r="A82" t="s">
        <v>148</v>
      </c>
      <c r="B82" t="s">
        <v>338</v>
      </c>
      <c r="C82">
        <v>28028.177913</v>
      </c>
      <c r="D82">
        <v>25815.191761999999</v>
      </c>
      <c r="E82">
        <v>26311.405328000001</v>
      </c>
      <c r="F82">
        <v>15318.910680999999</v>
      </c>
      <c r="G82">
        <v>14350.944095000001</v>
      </c>
      <c r="H82">
        <v>14464.03577</v>
      </c>
      <c r="I82">
        <v>18270.72</v>
      </c>
      <c r="J82">
        <v>12322.421850000001</v>
      </c>
      <c r="AA82">
        <v>6693253.9199999999</v>
      </c>
      <c r="AB82">
        <v>5860639</v>
      </c>
      <c r="AC82">
        <v>4817849.4400000004</v>
      </c>
      <c r="AD82">
        <v>4898685.84</v>
      </c>
      <c r="AE82">
        <v>4567256.5999999996</v>
      </c>
      <c r="AF82">
        <v>4349003.7</v>
      </c>
      <c r="AG82">
        <v>4470258.45</v>
      </c>
      <c r="AH82">
        <v>4486425.75</v>
      </c>
    </row>
    <row r="83" spans="1:34" x14ac:dyDescent="0.35">
      <c r="A83" t="s">
        <v>152</v>
      </c>
      <c r="B83" t="s">
        <v>342</v>
      </c>
      <c r="C83">
        <v>24075.378783</v>
      </c>
      <c r="D83">
        <v>28443.991976000001</v>
      </c>
      <c r="E83">
        <v>29447.564655999999</v>
      </c>
      <c r="F83">
        <v>19211.929</v>
      </c>
      <c r="G83">
        <v>20254.775214000001</v>
      </c>
      <c r="H83">
        <v>21588.652688999999</v>
      </c>
      <c r="I83">
        <v>37214.275249999999</v>
      </c>
      <c r="J83">
        <v>41952.858067000001</v>
      </c>
      <c r="AA83">
        <v>4959777.7300000004</v>
      </c>
      <c r="AB83">
        <v>3825915.5</v>
      </c>
      <c r="AC83">
        <v>2949433.04</v>
      </c>
      <c r="AD83">
        <v>3665922.67</v>
      </c>
      <c r="AE83">
        <v>3429411.53</v>
      </c>
      <c r="AF83">
        <v>3770265.82</v>
      </c>
      <c r="AG83">
        <v>4598054.8099999996</v>
      </c>
      <c r="AH83">
        <v>4695441.75</v>
      </c>
    </row>
    <row r="84" spans="1:34" x14ac:dyDescent="0.35">
      <c r="A84" t="s">
        <v>160</v>
      </c>
      <c r="B84" t="s">
        <v>347</v>
      </c>
      <c r="C84">
        <v>46456.706086999999</v>
      </c>
      <c r="D84">
        <v>54758.456095000001</v>
      </c>
      <c r="E84">
        <v>55844.704164000002</v>
      </c>
      <c r="F84">
        <v>49552.758682</v>
      </c>
      <c r="G84">
        <v>54884.162405000003</v>
      </c>
      <c r="H84">
        <v>54615.555213</v>
      </c>
      <c r="I84">
        <v>55812.580900000001</v>
      </c>
      <c r="J84">
        <v>59798.077882999998</v>
      </c>
      <c r="AA84">
        <v>33836523.377999999</v>
      </c>
      <c r="AB84">
        <v>31005254.120000001</v>
      </c>
      <c r="AC84">
        <v>28965434.77</v>
      </c>
      <c r="AD84">
        <v>30066937.219000001</v>
      </c>
      <c r="AE84">
        <v>30328034.096000001</v>
      </c>
      <c r="AF84">
        <v>31494810.763999999</v>
      </c>
      <c r="AG84">
        <v>33918116.152000003</v>
      </c>
      <c r="AH84">
        <v>33501993.004000001</v>
      </c>
    </row>
    <row r="85" spans="1:34" x14ac:dyDescent="0.35">
      <c r="A85" t="s">
        <v>153</v>
      </c>
      <c r="B85" t="s">
        <v>502</v>
      </c>
      <c r="C85">
        <v>295811.84100000001</v>
      </c>
      <c r="D85">
        <v>339513.46636000002</v>
      </c>
      <c r="E85">
        <v>350637.41926</v>
      </c>
      <c r="F85">
        <v>271225.65854999999</v>
      </c>
      <c r="G85">
        <v>313227.13107</v>
      </c>
      <c r="H85">
        <v>325904.83674</v>
      </c>
      <c r="I85">
        <v>380663.30314999999</v>
      </c>
      <c r="J85">
        <v>557982.55772000004</v>
      </c>
      <c r="AA85">
        <v>86547928.916999996</v>
      </c>
      <c r="AB85">
        <v>78561201.984999999</v>
      </c>
      <c r="AC85">
        <v>77730412.618000001</v>
      </c>
      <c r="AD85">
        <v>83107696.306999996</v>
      </c>
      <c r="AE85">
        <v>86927211.024000004</v>
      </c>
      <c r="AF85">
        <v>92676983.649000004</v>
      </c>
      <c r="AG85">
        <v>99957235.450000003</v>
      </c>
      <c r="AH85">
        <v>95683221.111000001</v>
      </c>
    </row>
    <row r="86" spans="1:34" x14ac:dyDescent="0.35">
      <c r="A86" t="s">
        <v>154</v>
      </c>
      <c r="B86" t="s">
        <v>503</v>
      </c>
      <c r="C86">
        <v>37673.095912999997</v>
      </c>
      <c r="D86">
        <v>52826.364332999998</v>
      </c>
      <c r="E86">
        <v>61404.65</v>
      </c>
      <c r="F86">
        <v>41678.641544999999</v>
      </c>
      <c r="G86">
        <v>48813.217643000004</v>
      </c>
      <c r="H86">
        <v>56001.495524999998</v>
      </c>
      <c r="I86">
        <v>72951.988249999995</v>
      </c>
      <c r="J86">
        <v>109270.87415</v>
      </c>
      <c r="AA86">
        <v>86547928.916999996</v>
      </c>
      <c r="AB86">
        <v>78561201.984999999</v>
      </c>
      <c r="AC86">
        <v>77730412.618000001</v>
      </c>
      <c r="AD86">
        <v>83107696.306999996</v>
      </c>
      <c r="AE86">
        <v>86927211.024000004</v>
      </c>
      <c r="AF86">
        <v>92676983.649000004</v>
      </c>
      <c r="AG86">
        <v>99957235.450000003</v>
      </c>
      <c r="AH86">
        <v>95683221.111000001</v>
      </c>
    </row>
    <row r="87" spans="1:34" x14ac:dyDescent="0.35">
      <c r="A87" t="s">
        <v>475</v>
      </c>
      <c r="B87" t="s">
        <v>489</v>
      </c>
      <c r="C87">
        <v>1846.9372609</v>
      </c>
      <c r="D87">
        <v>11698.291761</v>
      </c>
      <c r="E87">
        <v>9990.4991310999994</v>
      </c>
      <c r="F87">
        <v>17495.577818000002</v>
      </c>
      <c r="G87">
        <v>11947.027023000001</v>
      </c>
      <c r="H87">
        <v>10184.893049</v>
      </c>
      <c r="I87">
        <v>6637.3382000000001</v>
      </c>
      <c r="J87">
        <v>0</v>
      </c>
      <c r="AA87">
        <v>2559250.5161000001</v>
      </c>
      <c r="AB87">
        <v>3984461.8813999998</v>
      </c>
      <c r="AC87">
        <v>3984461.8813999998</v>
      </c>
      <c r="AD87">
        <v>4104274.3714999999</v>
      </c>
      <c r="AE87">
        <v>4155821.6057000002</v>
      </c>
      <c r="AF87">
        <v>4221300.5247</v>
      </c>
      <c r="AG87">
        <v>4374304.9994999999</v>
      </c>
      <c r="AH87">
        <v>4462992.6743999999</v>
      </c>
    </row>
    <row r="88" spans="1:34" x14ac:dyDescent="0.35">
      <c r="A88" t="s">
        <v>155</v>
      </c>
      <c r="B88" t="s">
        <v>343</v>
      </c>
      <c r="C88">
        <v>50.025913043000003</v>
      </c>
      <c r="D88">
        <v>53.290261905000001</v>
      </c>
      <c r="E88">
        <v>66.365803279000005</v>
      </c>
      <c r="F88">
        <v>57.345454545000003</v>
      </c>
      <c r="G88">
        <v>55.431690476</v>
      </c>
      <c r="H88">
        <v>93.132393442999998</v>
      </c>
      <c r="I88">
        <v>143.60395</v>
      </c>
      <c r="J88">
        <v>263.85351666999998</v>
      </c>
      <c r="AA88">
        <v>1881785.76</v>
      </c>
      <c r="AB88">
        <v>1918807.58</v>
      </c>
      <c r="AC88">
        <v>1963514</v>
      </c>
      <c r="AD88">
        <v>2019119</v>
      </c>
      <c r="AE88">
        <v>1566183.33</v>
      </c>
      <c r="AF88">
        <v>1385512.5</v>
      </c>
      <c r="AG88">
        <v>1200038.56</v>
      </c>
      <c r="AH88">
        <v>1120971.98</v>
      </c>
    </row>
    <row r="89" spans="1:34" x14ac:dyDescent="0.35">
      <c r="A89" t="s">
        <v>506</v>
      </c>
      <c r="B89" t="s">
        <v>507</v>
      </c>
      <c r="C89">
        <v>230091.54696000001</v>
      </c>
      <c r="D89">
        <v>299912.38261999999</v>
      </c>
      <c r="E89">
        <v>301434.67460999999</v>
      </c>
      <c r="F89">
        <v>286782.59882000001</v>
      </c>
      <c r="G89">
        <v>390243.81967</v>
      </c>
      <c r="H89">
        <v>439789.91018000001</v>
      </c>
      <c r="I89">
        <v>365869.39140000002</v>
      </c>
      <c r="J89">
        <v>386956.67259999999</v>
      </c>
      <c r="AA89">
        <v>35615007.840000004</v>
      </c>
      <c r="AB89">
        <v>42704216.289999999</v>
      </c>
      <c r="AC89">
        <v>41279028.270000003</v>
      </c>
      <c r="AD89">
        <v>44107365.32</v>
      </c>
      <c r="AE89">
        <v>51218612.759999998</v>
      </c>
      <c r="AF89">
        <v>48231964.5</v>
      </c>
      <c r="AG89">
        <v>47623104.719999999</v>
      </c>
      <c r="AH89">
        <v>48041237.340000004</v>
      </c>
    </row>
    <row r="90" spans="1:34" x14ac:dyDescent="0.35">
      <c r="A90" t="s">
        <v>61</v>
      </c>
      <c r="B90" t="s">
        <v>15</v>
      </c>
      <c r="C90">
        <v>103074.17143</v>
      </c>
      <c r="D90">
        <v>109889.12175999999</v>
      </c>
      <c r="E90">
        <v>105107.26152</v>
      </c>
      <c r="F90">
        <v>123977.10386</v>
      </c>
      <c r="G90">
        <v>112498.53026</v>
      </c>
      <c r="H90">
        <v>113700.79356999999</v>
      </c>
      <c r="I90">
        <v>110402.09974999999</v>
      </c>
      <c r="J90">
        <v>187417.35995000001</v>
      </c>
      <c r="AA90">
        <v>25262583.763999999</v>
      </c>
      <c r="AB90">
        <v>22307556.763999999</v>
      </c>
      <c r="AC90">
        <v>20337536.699999999</v>
      </c>
      <c r="AD90">
        <v>22655204.699999999</v>
      </c>
      <c r="AE90">
        <v>22751774.199999999</v>
      </c>
      <c r="AF90">
        <v>22604598.379999999</v>
      </c>
      <c r="AG90">
        <v>25814718.859999999</v>
      </c>
      <c r="AH90">
        <v>26693680.420000002</v>
      </c>
    </row>
    <row r="91" spans="1:34" x14ac:dyDescent="0.35">
      <c r="A91" t="s">
        <v>159</v>
      </c>
      <c r="B91" t="s">
        <v>346</v>
      </c>
      <c r="C91">
        <v>131042.95808</v>
      </c>
      <c r="D91">
        <v>135589.12925999999</v>
      </c>
      <c r="E91">
        <v>132991.08473999999</v>
      </c>
      <c r="F91">
        <v>139275.39136000001</v>
      </c>
      <c r="G91">
        <v>133163.38662</v>
      </c>
      <c r="H91">
        <v>124307.16220999999</v>
      </c>
      <c r="I91">
        <v>143031.33720000001</v>
      </c>
      <c r="J91">
        <v>139783.66037999999</v>
      </c>
      <c r="AA91">
        <v>21861227.000999998</v>
      </c>
      <c r="AB91">
        <v>20646953.191</v>
      </c>
      <c r="AC91">
        <v>19082355.977000002</v>
      </c>
      <c r="AD91">
        <v>20634350.642999999</v>
      </c>
      <c r="AE91">
        <v>19198457.638999999</v>
      </c>
      <c r="AF91">
        <v>20332518.699000001</v>
      </c>
      <c r="AG91">
        <v>22645525.289000001</v>
      </c>
      <c r="AH91">
        <v>23643736.734999999</v>
      </c>
    </row>
    <row r="92" spans="1:34" x14ac:dyDescent="0.35">
      <c r="A92" t="s">
        <v>157</v>
      </c>
      <c r="B92" t="s">
        <v>344</v>
      </c>
      <c r="C92">
        <v>51.335782608999999</v>
      </c>
      <c r="D92">
        <v>51.014380952000003</v>
      </c>
      <c r="E92">
        <v>60.025491803000001</v>
      </c>
      <c r="F92">
        <v>60.592863635999997</v>
      </c>
      <c r="G92">
        <v>105.74854761</v>
      </c>
      <c r="H92">
        <v>99.825114753999998</v>
      </c>
      <c r="I92">
        <v>62.977849999999997</v>
      </c>
      <c r="J92">
        <v>92.841933333</v>
      </c>
      <c r="AA92">
        <v>21861227.000999998</v>
      </c>
      <c r="AB92">
        <v>20646953.191</v>
      </c>
      <c r="AC92">
        <v>19082355.977000002</v>
      </c>
      <c r="AD92">
        <v>20634350.642999999</v>
      </c>
      <c r="AE92">
        <v>19198457.638999999</v>
      </c>
      <c r="AF92">
        <v>20332518.699000001</v>
      </c>
      <c r="AG92">
        <v>22645525.289000001</v>
      </c>
      <c r="AH92">
        <v>23643736.734999999</v>
      </c>
    </row>
    <row r="93" spans="1:34" x14ac:dyDescent="0.35">
      <c r="A93" t="s">
        <v>158</v>
      </c>
      <c r="B93" t="s">
        <v>345</v>
      </c>
      <c r="C93">
        <v>67.374217391000002</v>
      </c>
      <c r="D93">
        <v>68.488261905000002</v>
      </c>
      <c r="E93">
        <v>76.757639343999998</v>
      </c>
      <c r="F93">
        <v>61.553681818000001</v>
      </c>
      <c r="G93">
        <v>145.48138094999999</v>
      </c>
      <c r="H93">
        <v>135.06498361000001</v>
      </c>
      <c r="I93">
        <v>99.8583</v>
      </c>
      <c r="J93">
        <v>118.71686665999999</v>
      </c>
      <c r="AA93">
        <v>21861227.000999998</v>
      </c>
      <c r="AB93">
        <v>20646953.191</v>
      </c>
      <c r="AC93">
        <v>19082355.977000002</v>
      </c>
      <c r="AD93">
        <v>20634350.642999999</v>
      </c>
      <c r="AE93">
        <v>19198457.638999999</v>
      </c>
      <c r="AF93">
        <v>20332518.699000001</v>
      </c>
      <c r="AG93">
        <v>22645525.289000001</v>
      </c>
      <c r="AH93">
        <v>23643736.734999999</v>
      </c>
    </row>
    <row r="94" spans="1:34" x14ac:dyDescent="0.35">
      <c r="A94" t="s">
        <v>161</v>
      </c>
      <c r="B94" t="s">
        <v>348</v>
      </c>
      <c r="C94">
        <v>744.53165217000003</v>
      </c>
      <c r="D94">
        <v>740.88719047999996</v>
      </c>
      <c r="E94">
        <v>999.28526228999999</v>
      </c>
      <c r="F94">
        <v>620.84699999999998</v>
      </c>
      <c r="G94">
        <v>664.66738095000005</v>
      </c>
      <c r="H94">
        <v>901.72086884999999</v>
      </c>
      <c r="I94">
        <v>1558.15265</v>
      </c>
      <c r="J94">
        <v>604.17078332999995</v>
      </c>
      <c r="AA94">
        <v>264471.93</v>
      </c>
      <c r="AB94">
        <v>252170.91</v>
      </c>
      <c r="AC94">
        <v>215267.85</v>
      </c>
      <c r="AD94">
        <v>282923.46000000002</v>
      </c>
      <c r="AE94">
        <v>256271.25</v>
      </c>
      <c r="AF94">
        <v>207067.17</v>
      </c>
      <c r="AG94">
        <v>250120.74</v>
      </c>
      <c r="AH94">
        <v>243970.23</v>
      </c>
    </row>
    <row r="95" spans="1:34" x14ac:dyDescent="0.35">
      <c r="A95" t="s">
        <v>162</v>
      </c>
      <c r="B95" t="s">
        <v>349</v>
      </c>
      <c r="C95">
        <v>30.670347826</v>
      </c>
      <c r="D95">
        <v>32.122238095</v>
      </c>
      <c r="E95">
        <v>29.875704918</v>
      </c>
      <c r="F95">
        <v>74.949863636000003</v>
      </c>
      <c r="G95">
        <v>54.469285714000002</v>
      </c>
      <c r="H95">
        <v>47.707606556999998</v>
      </c>
      <c r="I95">
        <v>55.076349999999998</v>
      </c>
      <c r="J95">
        <v>40.900500000000001</v>
      </c>
      <c r="AA95">
        <v>12989355.161</v>
      </c>
      <c r="AB95">
        <v>12663433.765000001</v>
      </c>
      <c r="AC95">
        <v>12423300.816</v>
      </c>
      <c r="AD95">
        <v>11911698.437999999</v>
      </c>
      <c r="AE95">
        <v>12242734.457</v>
      </c>
      <c r="AF95">
        <v>13565599.878</v>
      </c>
      <c r="AG95">
        <v>13809496.716</v>
      </c>
      <c r="AH95">
        <v>12812629.24</v>
      </c>
    </row>
    <row r="96" spans="1:34" x14ac:dyDescent="0.35">
      <c r="A96" t="s">
        <v>163</v>
      </c>
      <c r="B96" t="s">
        <v>350</v>
      </c>
      <c r="C96">
        <v>0</v>
      </c>
      <c r="D96">
        <v>3.9238095238000002E-2</v>
      </c>
      <c r="E96">
        <v>0.22373770492</v>
      </c>
      <c r="F96">
        <v>3.4545454545E-2</v>
      </c>
      <c r="G96">
        <v>1.1942857143000001</v>
      </c>
      <c r="H96">
        <v>0.88072131147999999</v>
      </c>
      <c r="I96">
        <v>0.81799999999999995</v>
      </c>
      <c r="J96">
        <v>1.8368</v>
      </c>
      <c r="AA96">
        <v>12989355.161</v>
      </c>
      <c r="AB96">
        <v>12663433.765000001</v>
      </c>
      <c r="AC96">
        <v>12423300.816</v>
      </c>
      <c r="AD96">
        <v>11911698.437999999</v>
      </c>
      <c r="AE96">
        <v>12242734.457</v>
      </c>
      <c r="AF96">
        <v>13565599.878</v>
      </c>
      <c r="AG96">
        <v>13809496.716</v>
      </c>
      <c r="AH96">
        <v>12812629.24</v>
      </c>
    </row>
    <row r="97" spans="1:34" x14ac:dyDescent="0.35">
      <c r="A97" t="s">
        <v>62</v>
      </c>
      <c r="B97" t="s">
        <v>16</v>
      </c>
      <c r="C97">
        <v>229984.55721999999</v>
      </c>
      <c r="D97">
        <v>263006.21688000002</v>
      </c>
      <c r="E97">
        <v>280764.72006999998</v>
      </c>
      <c r="F97">
        <v>268263.76136</v>
      </c>
      <c r="G97">
        <v>248759.07467</v>
      </c>
      <c r="H97">
        <v>257490.60359000001</v>
      </c>
      <c r="I97">
        <v>310760.55209999997</v>
      </c>
      <c r="J97">
        <v>365480.59960000002</v>
      </c>
      <c r="AA97">
        <v>40088178.571999997</v>
      </c>
      <c r="AB97">
        <v>38239809.327</v>
      </c>
      <c r="AC97">
        <v>34229688.846000001</v>
      </c>
      <c r="AD97">
        <v>38127581.288999997</v>
      </c>
      <c r="AE97">
        <v>37562344.468999997</v>
      </c>
      <c r="AF97">
        <v>40060348.704000004</v>
      </c>
      <c r="AG97">
        <v>46081919.869000003</v>
      </c>
      <c r="AH97">
        <v>45881618.125</v>
      </c>
    </row>
    <row r="98" spans="1:34" x14ac:dyDescent="0.35">
      <c r="A98" t="s">
        <v>164</v>
      </c>
      <c r="B98" t="s">
        <v>351</v>
      </c>
      <c r="C98">
        <v>761.08795652000003</v>
      </c>
      <c r="D98">
        <v>706.03390476000004</v>
      </c>
      <c r="E98">
        <v>663.59534426000005</v>
      </c>
      <c r="F98">
        <v>435.54690908999999</v>
      </c>
      <c r="G98">
        <v>437.36471428999999</v>
      </c>
      <c r="H98">
        <v>550.23642623000001</v>
      </c>
      <c r="I98">
        <v>601.26004999999998</v>
      </c>
      <c r="J98">
        <v>628.22348333000002</v>
      </c>
      <c r="AA98">
        <v>1366275.73</v>
      </c>
      <c r="AB98">
        <v>1345774.78</v>
      </c>
      <c r="AC98">
        <v>1379144.38</v>
      </c>
      <c r="AD98">
        <v>1316855.2</v>
      </c>
      <c r="AE98">
        <v>1220911.3500000001</v>
      </c>
      <c r="AF98">
        <v>1207090.3500000001</v>
      </c>
      <c r="AG98">
        <v>1260709.6399999999</v>
      </c>
      <c r="AH98">
        <v>1704433.02</v>
      </c>
    </row>
    <row r="99" spans="1:34" x14ac:dyDescent="0.35">
      <c r="A99" t="s">
        <v>63</v>
      </c>
      <c r="B99" t="s">
        <v>17</v>
      </c>
      <c r="C99">
        <v>10305.91813</v>
      </c>
      <c r="D99">
        <v>9600.4739286000004</v>
      </c>
      <c r="E99">
        <v>9089.7035574000001</v>
      </c>
      <c r="F99">
        <v>7246.4241364</v>
      </c>
      <c r="G99">
        <v>7232.4724047999998</v>
      </c>
      <c r="H99">
        <v>6985.1935409999996</v>
      </c>
      <c r="I99">
        <v>6354.8845499999998</v>
      </c>
      <c r="J99">
        <v>7894.4041999999999</v>
      </c>
      <c r="AA99">
        <v>1199103.1935000001</v>
      </c>
      <c r="AB99">
        <v>1135469.1932000001</v>
      </c>
      <c r="AC99">
        <v>1055149.5053999999</v>
      </c>
      <c r="AD99">
        <v>1196886.0061000001</v>
      </c>
      <c r="AE99">
        <v>1118143.5057000001</v>
      </c>
      <c r="AF99">
        <v>1192948.8811000001</v>
      </c>
      <c r="AG99">
        <v>1131923.4432999999</v>
      </c>
      <c r="AH99">
        <v>1415396.4447000001</v>
      </c>
    </row>
    <row r="100" spans="1:34" x14ac:dyDescent="0.35">
      <c r="A100" t="s">
        <v>64</v>
      </c>
      <c r="B100" t="s">
        <v>18</v>
      </c>
      <c r="C100">
        <v>23921.458912999999</v>
      </c>
      <c r="D100">
        <v>38340.912167000002</v>
      </c>
      <c r="E100">
        <v>36323.357196999998</v>
      </c>
      <c r="F100">
        <v>26537.064864</v>
      </c>
      <c r="G100">
        <v>27677.983</v>
      </c>
      <c r="H100">
        <v>29574.294918</v>
      </c>
      <c r="I100">
        <v>31085.919900000001</v>
      </c>
      <c r="J100">
        <v>29174.081150000002</v>
      </c>
      <c r="AA100">
        <v>3047216.0709000002</v>
      </c>
      <c r="AB100">
        <v>2761471.4</v>
      </c>
      <c r="AC100">
        <v>2362301.3635</v>
      </c>
      <c r="AD100">
        <v>2772377.6850999999</v>
      </c>
      <c r="AE100">
        <v>2672039.8618000001</v>
      </c>
      <c r="AF100">
        <v>3317691.9426000002</v>
      </c>
      <c r="AG100">
        <v>2896709.3358</v>
      </c>
      <c r="AH100">
        <v>2907615.6209999998</v>
      </c>
    </row>
    <row r="101" spans="1:34" x14ac:dyDescent="0.35">
      <c r="A101" t="s">
        <v>476</v>
      </c>
      <c r="B101" t="s">
        <v>490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</row>
    <row r="102" spans="1:34" x14ac:dyDescent="0.35">
      <c r="A102" t="s">
        <v>165</v>
      </c>
      <c r="B102" t="s">
        <v>352</v>
      </c>
      <c r="C102">
        <v>3.2696521739</v>
      </c>
      <c r="D102">
        <v>3.1074761904999999</v>
      </c>
      <c r="E102">
        <v>3.6022950819999999</v>
      </c>
      <c r="F102">
        <v>2.1324545454999999</v>
      </c>
      <c r="G102">
        <v>1.7982619047999999</v>
      </c>
      <c r="H102">
        <v>2.2524590164</v>
      </c>
      <c r="I102">
        <v>1.5182</v>
      </c>
      <c r="J102">
        <v>7.9629333332999996</v>
      </c>
      <c r="AA102">
        <v>3123692.2080000001</v>
      </c>
      <c r="AB102">
        <v>3170105.04</v>
      </c>
      <c r="AC102">
        <v>3165263.892</v>
      </c>
      <c r="AD102">
        <v>3303973.08</v>
      </c>
      <c r="AE102">
        <v>3073189.5279999999</v>
      </c>
      <c r="AF102">
        <v>3058032.1680000001</v>
      </c>
      <c r="AG102">
        <v>3026404.3</v>
      </c>
      <c r="AH102">
        <v>2971635.3360000001</v>
      </c>
    </row>
    <row r="103" spans="1:34" x14ac:dyDescent="0.35">
      <c r="A103" t="s">
        <v>166</v>
      </c>
      <c r="B103" t="s">
        <v>353</v>
      </c>
      <c r="C103">
        <v>3858.5828261000001</v>
      </c>
      <c r="D103">
        <v>3808.2699047999999</v>
      </c>
      <c r="E103">
        <v>4064.6223770000001</v>
      </c>
      <c r="F103">
        <v>2801.3229999999999</v>
      </c>
      <c r="G103">
        <v>2552.0791666999999</v>
      </c>
      <c r="H103">
        <v>2836.8399180000001</v>
      </c>
      <c r="I103">
        <v>3599.6774</v>
      </c>
      <c r="J103">
        <v>4717.7636499999999</v>
      </c>
      <c r="AA103">
        <v>3123692.2080000001</v>
      </c>
      <c r="AB103">
        <v>3170105.04</v>
      </c>
      <c r="AC103">
        <v>3165263.892</v>
      </c>
      <c r="AD103">
        <v>3303973.08</v>
      </c>
      <c r="AE103">
        <v>3073189.5279999999</v>
      </c>
      <c r="AF103">
        <v>3058032.1680000001</v>
      </c>
      <c r="AG103">
        <v>3026404.3</v>
      </c>
      <c r="AH103">
        <v>2971635.3360000001</v>
      </c>
    </row>
    <row r="104" spans="1:34" x14ac:dyDescent="0.35">
      <c r="A104" t="s">
        <v>167</v>
      </c>
      <c r="B104" t="s">
        <v>354</v>
      </c>
      <c r="C104">
        <v>21.706695652000001</v>
      </c>
      <c r="D104">
        <v>12.039380952</v>
      </c>
      <c r="E104">
        <v>8.5186885245999999</v>
      </c>
      <c r="F104">
        <v>1.6910909090999999</v>
      </c>
      <c r="G104">
        <v>0.96928571428999999</v>
      </c>
      <c r="H104">
        <v>2.5672950819999998</v>
      </c>
      <c r="I104">
        <v>3.6286</v>
      </c>
      <c r="J104">
        <v>21.377133333</v>
      </c>
      <c r="AA104">
        <v>27830.537970000001</v>
      </c>
      <c r="AB104">
        <v>26643.683000000001</v>
      </c>
      <c r="AC104">
        <v>23737.099399999999</v>
      </c>
      <c r="AD104">
        <v>21775.155470000002</v>
      </c>
      <c r="AE104">
        <v>21532.940170000002</v>
      </c>
      <c r="AF104">
        <v>21799.377</v>
      </c>
      <c r="AG104">
        <v>21799.377</v>
      </c>
      <c r="AH104">
        <v>26643.683000000001</v>
      </c>
    </row>
    <row r="105" spans="1:34" x14ac:dyDescent="0.35">
      <c r="A105" t="s">
        <v>267</v>
      </c>
      <c r="B105" t="s">
        <v>452</v>
      </c>
      <c r="C105">
        <v>1230.1674347999999</v>
      </c>
      <c r="D105">
        <v>1376.9240476</v>
      </c>
      <c r="E105">
        <v>1409.4010820000001</v>
      </c>
      <c r="F105">
        <v>1202.3704545000001</v>
      </c>
      <c r="G105">
        <v>1295.1313333000001</v>
      </c>
      <c r="H105">
        <v>1331.3696393</v>
      </c>
      <c r="I105">
        <v>1853.2414000000001</v>
      </c>
      <c r="J105">
        <v>2608.2999332999998</v>
      </c>
      <c r="AA105">
        <v>1366301.8282000001</v>
      </c>
      <c r="AB105">
        <v>1313344.3929999999</v>
      </c>
      <c r="AC105">
        <v>1235673.4879999999</v>
      </c>
      <c r="AD105">
        <v>1232142.9923</v>
      </c>
      <c r="AE105">
        <v>1193307.5397999999</v>
      </c>
      <c r="AF105">
        <v>1295691.9146</v>
      </c>
      <c r="AG105">
        <v>1380423.8108999999</v>
      </c>
      <c r="AH105">
        <v>1376893.3152000001</v>
      </c>
    </row>
    <row r="106" spans="1:34" x14ac:dyDescent="0.35">
      <c r="A106" t="s">
        <v>168</v>
      </c>
      <c r="B106" t="s">
        <v>355</v>
      </c>
      <c r="C106">
        <v>48194.355390999997</v>
      </c>
      <c r="D106">
        <v>47592.159809999997</v>
      </c>
      <c r="E106">
        <v>45777.988966999998</v>
      </c>
      <c r="F106">
        <v>39619.428409</v>
      </c>
      <c r="G106">
        <v>40214.215167000002</v>
      </c>
      <c r="H106">
        <v>41685.996033000003</v>
      </c>
      <c r="I106">
        <v>37764.70175</v>
      </c>
      <c r="J106">
        <v>54373.591117000004</v>
      </c>
      <c r="AA106">
        <v>8066225.7319999998</v>
      </c>
      <c r="AB106">
        <v>7173606.96</v>
      </c>
      <c r="AC106">
        <v>6569456.4496999998</v>
      </c>
      <c r="AD106">
        <v>6493257.2862999998</v>
      </c>
      <c r="AE106">
        <v>6036062.3054999998</v>
      </c>
      <c r="AF106">
        <v>6376681.0107000005</v>
      </c>
      <c r="AG106">
        <v>7079750.9682999998</v>
      </c>
      <c r="AH106">
        <v>7003448.8022999996</v>
      </c>
    </row>
    <row r="107" spans="1:34" x14ac:dyDescent="0.35">
      <c r="A107" t="s">
        <v>169</v>
      </c>
      <c r="B107" t="s">
        <v>356</v>
      </c>
      <c r="C107">
        <v>5717.9790000000003</v>
      </c>
      <c r="D107">
        <v>6360.5800476000004</v>
      </c>
      <c r="E107">
        <v>6065.7418525000003</v>
      </c>
      <c r="F107">
        <v>6446.6867726999999</v>
      </c>
      <c r="G107">
        <v>6689.0119047999997</v>
      </c>
      <c r="H107">
        <v>7246.8852294999997</v>
      </c>
      <c r="I107">
        <v>7960.3469500000001</v>
      </c>
      <c r="J107">
        <v>9463.2343832999995</v>
      </c>
      <c r="AA107">
        <v>5826289.1200000001</v>
      </c>
      <c r="AB107">
        <v>5436445.7599999998</v>
      </c>
      <c r="AC107">
        <v>5473828</v>
      </c>
      <c r="AD107">
        <v>5804927.8399999999</v>
      </c>
      <c r="AE107">
        <v>6346970.3200000003</v>
      </c>
      <c r="AF107">
        <v>7233463.4400000004</v>
      </c>
      <c r="AG107">
        <v>7807547.8399999999</v>
      </c>
      <c r="AH107">
        <v>7033201.4400000004</v>
      </c>
    </row>
    <row r="108" spans="1:34" x14ac:dyDescent="0.35">
      <c r="A108" t="s">
        <v>171</v>
      </c>
      <c r="B108" t="s">
        <v>358</v>
      </c>
      <c r="C108">
        <v>12.509043478000001</v>
      </c>
      <c r="D108">
        <v>12.835261903999999</v>
      </c>
      <c r="E108">
        <v>15.680786885</v>
      </c>
      <c r="F108">
        <v>12.655181818000001</v>
      </c>
      <c r="G108">
        <v>20.841857142999999</v>
      </c>
      <c r="H108">
        <v>21.053491803</v>
      </c>
      <c r="I108">
        <v>6.8779500000000002</v>
      </c>
      <c r="J108">
        <v>29.735166667000001</v>
      </c>
      <c r="AA108">
        <v>2816630.0543</v>
      </c>
      <c r="AB108">
        <v>2889658.4597999998</v>
      </c>
      <c r="AC108">
        <v>2785781.8484999998</v>
      </c>
      <c r="AD108">
        <v>2754304.0874999999</v>
      </c>
      <c r="AE108">
        <v>2914840.6686</v>
      </c>
      <c r="AF108">
        <v>3084820.5780000002</v>
      </c>
      <c r="AG108">
        <v>3119760.8927000002</v>
      </c>
      <c r="AH108">
        <v>3274631.4767999998</v>
      </c>
    </row>
    <row r="109" spans="1:34" x14ac:dyDescent="0.35">
      <c r="A109" t="s">
        <v>170</v>
      </c>
      <c r="B109" t="s">
        <v>357</v>
      </c>
      <c r="C109">
        <v>7715.5147391</v>
      </c>
      <c r="D109">
        <v>8910.9844286000007</v>
      </c>
      <c r="E109">
        <v>7860.6297212999998</v>
      </c>
      <c r="F109">
        <v>7603.3399091000001</v>
      </c>
      <c r="G109">
        <v>5897.5167856999997</v>
      </c>
      <c r="H109">
        <v>7381.8238524999997</v>
      </c>
      <c r="I109">
        <v>19493.4139</v>
      </c>
      <c r="J109">
        <v>4225.3993667000004</v>
      </c>
      <c r="AA109">
        <v>127855.42</v>
      </c>
      <c r="AB109">
        <v>122874.04</v>
      </c>
      <c r="AC109">
        <v>97967.14</v>
      </c>
      <c r="AD109">
        <v>116232.2</v>
      </c>
      <c r="AE109">
        <v>91325.3</v>
      </c>
      <c r="AF109">
        <v>305412.61</v>
      </c>
      <c r="AG109">
        <v>188360.2</v>
      </c>
      <c r="AH109">
        <v>164142.46</v>
      </c>
    </row>
    <row r="110" spans="1:34" x14ac:dyDescent="0.35">
      <c r="A110" t="s">
        <v>172</v>
      </c>
      <c r="B110" t="s">
        <v>359</v>
      </c>
      <c r="C110">
        <v>225270.83369999999</v>
      </c>
      <c r="D110">
        <v>267446.93455000001</v>
      </c>
      <c r="E110">
        <v>272030.98820999998</v>
      </c>
      <c r="F110">
        <v>209260.77523</v>
      </c>
      <c r="G110">
        <v>213512.10517</v>
      </c>
      <c r="H110">
        <v>196920.32190000001</v>
      </c>
      <c r="I110">
        <v>211215.6341</v>
      </c>
      <c r="J110">
        <v>196307.54722000001</v>
      </c>
      <c r="AA110">
        <v>37839416.848999999</v>
      </c>
      <c r="AB110">
        <v>41695783.086999997</v>
      </c>
      <c r="AC110">
        <v>36187993.077</v>
      </c>
      <c r="AD110">
        <v>35353639.468999997</v>
      </c>
      <c r="AE110">
        <v>33310651.489</v>
      </c>
      <c r="AF110">
        <v>32240419.298999999</v>
      </c>
      <c r="AG110">
        <v>30179954.958000001</v>
      </c>
      <c r="AH110">
        <v>30419947.157000002</v>
      </c>
    </row>
    <row r="111" spans="1:34" x14ac:dyDescent="0.35">
      <c r="A111" t="s">
        <v>174</v>
      </c>
      <c r="B111" t="s">
        <v>361</v>
      </c>
      <c r="C111">
        <v>35180.384522</v>
      </c>
      <c r="D111">
        <v>36663.893261999998</v>
      </c>
      <c r="E111">
        <v>36524.084852</v>
      </c>
      <c r="F111">
        <v>41143.197500000002</v>
      </c>
      <c r="G111">
        <v>44279.940024000003</v>
      </c>
      <c r="H111">
        <v>41384.427130999997</v>
      </c>
      <c r="I111">
        <v>34535.436450000001</v>
      </c>
      <c r="J111">
        <v>58138.776082999997</v>
      </c>
      <c r="AA111">
        <v>11513021.710000001</v>
      </c>
      <c r="AB111">
        <v>10932646.642000001</v>
      </c>
      <c r="AC111">
        <v>9434469.1393999998</v>
      </c>
      <c r="AD111">
        <v>10176809.343</v>
      </c>
      <c r="AE111">
        <v>9076796.1319999993</v>
      </c>
      <c r="AF111">
        <v>8838513.1611000001</v>
      </c>
      <c r="AG111">
        <v>10226938.6</v>
      </c>
      <c r="AH111">
        <v>10159210.529999999</v>
      </c>
    </row>
    <row r="112" spans="1:34" x14ac:dyDescent="0.35">
      <c r="A112" t="s">
        <v>177</v>
      </c>
      <c r="B112" t="s">
        <v>364</v>
      </c>
      <c r="C112">
        <v>25054.516738999999</v>
      </c>
      <c r="D112">
        <v>26720.159309999999</v>
      </c>
      <c r="E112">
        <v>31024.115803000001</v>
      </c>
      <c r="F112">
        <v>25882.175408999999</v>
      </c>
      <c r="G112">
        <v>27759.515571</v>
      </c>
      <c r="H112">
        <v>26382.074197000002</v>
      </c>
      <c r="I112">
        <v>32907.422599999998</v>
      </c>
      <c r="J112">
        <v>41496.929882999997</v>
      </c>
      <c r="AA112">
        <v>16742978.282</v>
      </c>
      <c r="AB112">
        <v>15419456.1</v>
      </c>
      <c r="AC112">
        <v>14366093.127</v>
      </c>
      <c r="AD112">
        <v>14995593.296</v>
      </c>
      <c r="AE112">
        <v>14343610.979</v>
      </c>
      <c r="AF112">
        <v>15225946.933</v>
      </c>
      <c r="AG112">
        <v>17292004.629999999</v>
      </c>
      <c r="AH112">
        <v>17943261.947000001</v>
      </c>
    </row>
    <row r="113" spans="1:34" x14ac:dyDescent="0.35">
      <c r="A113" t="s">
        <v>173</v>
      </c>
      <c r="B113" t="s">
        <v>360</v>
      </c>
      <c r="C113">
        <v>74593.186260999995</v>
      </c>
      <c r="D113">
        <v>94626.959667000003</v>
      </c>
      <c r="E113">
        <v>95395.060016000003</v>
      </c>
      <c r="F113">
        <v>88243.000272999998</v>
      </c>
      <c r="G113">
        <v>85327.682476000002</v>
      </c>
      <c r="H113">
        <v>82800.094343999997</v>
      </c>
      <c r="I113">
        <v>127324.79549999999</v>
      </c>
      <c r="J113">
        <v>64045.678749999999</v>
      </c>
      <c r="AA113">
        <v>10477780.384</v>
      </c>
      <c r="AB113">
        <v>11595236.419</v>
      </c>
      <c r="AC113">
        <v>10269671.405999999</v>
      </c>
      <c r="AD113">
        <v>10059909.221999999</v>
      </c>
      <c r="AE113">
        <v>9225720.0147999991</v>
      </c>
      <c r="AF113">
        <v>8963517.875</v>
      </c>
      <c r="AG113">
        <v>8451994.7238999996</v>
      </c>
      <c r="AH113">
        <v>8384053.8737000003</v>
      </c>
    </row>
    <row r="114" spans="1:34" x14ac:dyDescent="0.35">
      <c r="A114" t="s">
        <v>95</v>
      </c>
      <c r="B114" t="s">
        <v>286</v>
      </c>
      <c r="C114">
        <v>16775.499027000002</v>
      </c>
      <c r="D114">
        <v>15987.837793000001</v>
      </c>
      <c r="E114">
        <v>19255.810402999999</v>
      </c>
      <c r="F114">
        <v>14301.518735</v>
      </c>
      <c r="G114">
        <v>17310.624903</v>
      </c>
      <c r="H114">
        <v>17446.046246000002</v>
      </c>
      <c r="I114">
        <v>20674.413608999999</v>
      </c>
      <c r="J114">
        <v>33488.609093999999</v>
      </c>
    </row>
    <row r="115" spans="1:34" x14ac:dyDescent="0.35">
      <c r="A115" t="s">
        <v>176</v>
      </c>
      <c r="B115" t="s">
        <v>363</v>
      </c>
      <c r="C115">
        <v>4765.5778260999996</v>
      </c>
      <c r="D115">
        <v>5117.0470714000003</v>
      </c>
      <c r="E115">
        <v>5720.9570819999999</v>
      </c>
      <c r="F115">
        <v>5970.9028636000003</v>
      </c>
      <c r="G115">
        <v>6369.6808094999997</v>
      </c>
      <c r="H115">
        <v>7818.4283279000001</v>
      </c>
      <c r="I115">
        <v>14324.25045</v>
      </c>
      <c r="J115">
        <v>28599.589817</v>
      </c>
      <c r="AA115">
        <v>4799491.2</v>
      </c>
      <c r="AB115">
        <v>4673188.8</v>
      </c>
      <c r="AC115">
        <v>4402540.8</v>
      </c>
      <c r="AD115">
        <v>5106225.5999999996</v>
      </c>
      <c r="AE115">
        <v>5043074.4000000004</v>
      </c>
      <c r="AF115">
        <v>4961880</v>
      </c>
      <c r="AG115">
        <v>5016009.5999999996</v>
      </c>
      <c r="AH115">
        <v>4862642.4000000004</v>
      </c>
    </row>
    <row r="116" spans="1:34" x14ac:dyDescent="0.35">
      <c r="A116" t="s">
        <v>179</v>
      </c>
      <c r="B116" t="s">
        <v>366</v>
      </c>
      <c r="C116">
        <v>7275.7923913000004</v>
      </c>
      <c r="D116">
        <v>11077.234119000001</v>
      </c>
      <c r="E116">
        <v>9768.8817213000002</v>
      </c>
      <c r="F116">
        <v>5465.6468181999999</v>
      </c>
      <c r="G116">
        <v>5803.7804524000003</v>
      </c>
      <c r="H116">
        <v>7116.1076720999999</v>
      </c>
      <c r="I116">
        <v>13035.65725</v>
      </c>
      <c r="J116">
        <v>20281.688549999999</v>
      </c>
      <c r="AA116">
        <v>4238186.2655999996</v>
      </c>
      <c r="AB116">
        <v>3479406.1568</v>
      </c>
      <c r="AC116">
        <v>3090032.1535999998</v>
      </c>
      <c r="AD116">
        <v>3314671.0016000001</v>
      </c>
      <c r="AE116">
        <v>3065072.2815999999</v>
      </c>
      <c r="AF116">
        <v>3159919.7952000001</v>
      </c>
      <c r="AG116">
        <v>4063467.1616000002</v>
      </c>
      <c r="AH116">
        <v>4263146.1376</v>
      </c>
    </row>
    <row r="117" spans="1:34" x14ac:dyDescent="0.35">
      <c r="A117" t="s">
        <v>180</v>
      </c>
      <c r="B117" t="s">
        <v>367</v>
      </c>
      <c r="C117">
        <v>263691.79096000001</v>
      </c>
      <c r="D117">
        <v>275013.93105000001</v>
      </c>
      <c r="E117">
        <v>276337.36374</v>
      </c>
      <c r="F117">
        <v>154840.81709</v>
      </c>
      <c r="G117">
        <v>225741.44614000001</v>
      </c>
      <c r="H117">
        <v>232838.9289</v>
      </c>
      <c r="I117">
        <v>160718.5099</v>
      </c>
      <c r="J117">
        <v>197571.43867999999</v>
      </c>
      <c r="AA117">
        <v>26380252.976</v>
      </c>
      <c r="AB117">
        <v>20234853.135000002</v>
      </c>
      <c r="AC117">
        <v>16546131.811000001</v>
      </c>
      <c r="AD117">
        <v>18178485.622000001</v>
      </c>
      <c r="AE117">
        <v>15655757.005000001</v>
      </c>
      <c r="AF117">
        <v>16397736.011</v>
      </c>
      <c r="AG117">
        <v>17213912.916000001</v>
      </c>
      <c r="AH117">
        <v>21220599.543000001</v>
      </c>
    </row>
    <row r="118" spans="1:34" x14ac:dyDescent="0.35">
      <c r="A118" t="s">
        <v>181</v>
      </c>
      <c r="B118" t="s">
        <v>368</v>
      </c>
      <c r="C118">
        <v>2275.7116956999998</v>
      </c>
      <c r="D118">
        <v>2731.7821905000001</v>
      </c>
      <c r="E118">
        <v>2616.5178688999999</v>
      </c>
      <c r="F118">
        <v>1075.6528636</v>
      </c>
      <c r="G118">
        <v>1108.9484047999999</v>
      </c>
      <c r="H118">
        <v>1113.5920000000001</v>
      </c>
      <c r="I118">
        <v>1270.1960999999999</v>
      </c>
      <c r="J118">
        <v>2023.1275333000001</v>
      </c>
      <c r="AA118">
        <v>465114.02064</v>
      </c>
      <c r="AB118">
        <v>418808.42124</v>
      </c>
      <c r="AC118">
        <v>306645.96935999999</v>
      </c>
      <c r="AD118">
        <v>330313.27571999998</v>
      </c>
      <c r="AE118">
        <v>281949.64967999997</v>
      </c>
      <c r="AF118">
        <v>340603.40892000002</v>
      </c>
      <c r="AG118">
        <v>378676.90175999998</v>
      </c>
      <c r="AH118">
        <v>359125.64867999998</v>
      </c>
    </row>
    <row r="119" spans="1:34" x14ac:dyDescent="0.35">
      <c r="A119" t="s">
        <v>478</v>
      </c>
      <c r="B119" t="s">
        <v>491</v>
      </c>
      <c r="I119">
        <v>895.90509999999995</v>
      </c>
      <c r="J119">
        <v>0</v>
      </c>
    </row>
    <row r="120" spans="1:34" x14ac:dyDescent="0.35">
      <c r="A120" t="s">
        <v>65</v>
      </c>
      <c r="B120" t="s">
        <v>19</v>
      </c>
      <c r="C120">
        <v>10141.434652</v>
      </c>
      <c r="D120">
        <v>12042.616547</v>
      </c>
      <c r="E120">
        <v>11645.597212999999</v>
      </c>
      <c r="F120">
        <v>9416.2559999999994</v>
      </c>
      <c r="G120">
        <v>8808.0986429000004</v>
      </c>
      <c r="H120">
        <v>9168.5702786999991</v>
      </c>
      <c r="I120">
        <v>11977.2575</v>
      </c>
      <c r="J120">
        <v>13570.730466000001</v>
      </c>
      <c r="AA120">
        <v>2395206.4500000002</v>
      </c>
      <c r="AB120">
        <v>2281149</v>
      </c>
      <c r="AC120">
        <v>2091053.25</v>
      </c>
      <c r="AD120">
        <v>2091053.25</v>
      </c>
      <c r="AE120">
        <v>1505558.34</v>
      </c>
      <c r="AF120">
        <v>1695654.09</v>
      </c>
      <c r="AG120">
        <v>2303960.4900000002</v>
      </c>
      <c r="AH120">
        <v>4326017.9400000004</v>
      </c>
    </row>
    <row r="121" spans="1:34" x14ac:dyDescent="0.35">
      <c r="A121" t="s">
        <v>182</v>
      </c>
      <c r="B121" t="s">
        <v>369</v>
      </c>
      <c r="C121">
        <v>251530.45522</v>
      </c>
      <c r="D121">
        <v>191199.31925999999</v>
      </c>
      <c r="E121">
        <v>163360.61877</v>
      </c>
      <c r="F121">
        <v>75069.970908999996</v>
      </c>
      <c r="G121">
        <v>117575.65528000001</v>
      </c>
      <c r="H121">
        <v>107136.72826</v>
      </c>
      <c r="I121">
        <v>72717.651750000005</v>
      </c>
      <c r="J121">
        <v>64979.506032999998</v>
      </c>
      <c r="AA121">
        <v>13982278.143999999</v>
      </c>
      <c r="AB121">
        <v>12349957.890000001</v>
      </c>
      <c r="AC121">
        <v>11445493.596000001</v>
      </c>
      <c r="AD121">
        <v>11641629.749</v>
      </c>
      <c r="AE121">
        <v>12052882.973999999</v>
      </c>
      <c r="AF121">
        <v>12237953.757999999</v>
      </c>
      <c r="AG121">
        <v>15239000.755999999</v>
      </c>
      <c r="AH121">
        <v>16047703.947000001</v>
      </c>
    </row>
    <row r="122" spans="1:34" x14ac:dyDescent="0.35">
      <c r="A122" t="s">
        <v>183</v>
      </c>
      <c r="B122" t="s">
        <v>370</v>
      </c>
      <c r="C122">
        <v>56794.236129999998</v>
      </c>
      <c r="D122">
        <v>58303.497261999997</v>
      </c>
      <c r="E122">
        <v>58646.793934000001</v>
      </c>
      <c r="F122">
        <v>40741.483364</v>
      </c>
      <c r="G122">
        <v>54773.861119000001</v>
      </c>
      <c r="H122">
        <v>51248.660771000003</v>
      </c>
      <c r="I122">
        <v>50477.458500000001</v>
      </c>
      <c r="J122">
        <v>53147.550450000002</v>
      </c>
      <c r="AA122">
        <v>3346135.9824000001</v>
      </c>
      <c r="AB122">
        <v>2970122.2247000001</v>
      </c>
      <c r="AC122">
        <v>2741881.713</v>
      </c>
      <c r="AD122">
        <v>2828052.2152999998</v>
      </c>
      <c r="AE122">
        <v>2693537.3714999999</v>
      </c>
      <c r="AF122">
        <v>2839583.8563000001</v>
      </c>
      <c r="AG122">
        <v>3089209.3432999998</v>
      </c>
      <c r="AH122">
        <v>3469674.2409000001</v>
      </c>
    </row>
    <row r="123" spans="1:34" x14ac:dyDescent="0.35">
      <c r="A123" t="s">
        <v>184</v>
      </c>
      <c r="B123" t="s">
        <v>371</v>
      </c>
      <c r="C123">
        <v>24080.910478000002</v>
      </c>
      <c r="D123">
        <v>24297.532451999999</v>
      </c>
      <c r="E123">
        <v>22982.520098000001</v>
      </c>
      <c r="F123">
        <v>21350.341591</v>
      </c>
      <c r="G123">
        <v>23655.936952</v>
      </c>
      <c r="H123">
        <v>26839.007819999999</v>
      </c>
      <c r="I123">
        <v>34303.1607</v>
      </c>
      <c r="J123">
        <v>29432.552250000001</v>
      </c>
      <c r="AA123">
        <v>6270476.6453999998</v>
      </c>
      <c r="AB123">
        <v>4979688.8720000004</v>
      </c>
      <c r="AC123">
        <v>4186272.7763999999</v>
      </c>
      <c r="AD123">
        <v>4743132.2224000003</v>
      </c>
      <c r="AE123">
        <v>4225580.5020000003</v>
      </c>
      <c r="AF123">
        <v>4192509.952</v>
      </c>
      <c r="AG123">
        <v>4634688.7359999996</v>
      </c>
      <c r="AH123">
        <v>4814835.648</v>
      </c>
    </row>
    <row r="124" spans="1:34" x14ac:dyDescent="0.35">
      <c r="A124" t="s">
        <v>186</v>
      </c>
      <c r="B124" t="s">
        <v>373</v>
      </c>
      <c r="C124">
        <v>48565.163912999997</v>
      </c>
      <c r="D124">
        <v>49866.398094999997</v>
      </c>
      <c r="E124">
        <v>49877.107164000001</v>
      </c>
      <c r="F124">
        <v>100397.06703999999</v>
      </c>
      <c r="G124">
        <v>96395.503643000004</v>
      </c>
      <c r="H124">
        <v>83657.703787000006</v>
      </c>
      <c r="I124">
        <v>62198.424650000001</v>
      </c>
      <c r="J124">
        <v>37959.739433000002</v>
      </c>
      <c r="AA124">
        <v>3547070.7226</v>
      </c>
      <c r="AB124">
        <v>3354739.9380999999</v>
      </c>
      <c r="AC124">
        <v>3474230.5531000001</v>
      </c>
      <c r="AD124">
        <v>4456345.1426999997</v>
      </c>
      <c r="AE124">
        <v>3858073.6460000002</v>
      </c>
      <c r="AF124">
        <v>4195266.3364000004</v>
      </c>
      <c r="AG124">
        <v>3914545.2374</v>
      </c>
      <c r="AH124">
        <v>4023396.2757999999</v>
      </c>
    </row>
    <row r="125" spans="1:34" x14ac:dyDescent="0.35">
      <c r="A125" t="s">
        <v>187</v>
      </c>
      <c r="B125" t="s">
        <v>374</v>
      </c>
      <c r="C125">
        <v>56206.993564999997</v>
      </c>
      <c r="D125">
        <v>55362.202713999999</v>
      </c>
      <c r="E125">
        <v>65389.179196999998</v>
      </c>
      <c r="F125">
        <v>79646.958455</v>
      </c>
      <c r="G125">
        <v>72519.588428999996</v>
      </c>
      <c r="H125">
        <v>67647.938328000004</v>
      </c>
      <c r="I125">
        <v>50794.160250000001</v>
      </c>
      <c r="J125">
        <v>55851.182967000001</v>
      </c>
      <c r="AA125">
        <v>17709243.863000002</v>
      </c>
      <c r="AB125">
        <v>17832518.596000001</v>
      </c>
      <c r="AC125">
        <v>17090279.059999999</v>
      </c>
      <c r="AD125">
        <v>17988482.896000002</v>
      </c>
      <c r="AE125">
        <v>17465666.488000002</v>
      </c>
      <c r="AF125">
        <v>17087321.390999999</v>
      </c>
      <c r="AG125">
        <v>17883009.206</v>
      </c>
      <c r="AH125">
        <v>17623236.921999998</v>
      </c>
    </row>
    <row r="126" spans="1:34" x14ac:dyDescent="0.35">
      <c r="A126" t="s">
        <v>67</v>
      </c>
      <c r="B126" t="s">
        <v>21</v>
      </c>
      <c r="C126">
        <v>216254.20548</v>
      </c>
      <c r="D126">
        <v>241717.63693000001</v>
      </c>
      <c r="E126">
        <v>266054.15292000002</v>
      </c>
      <c r="F126">
        <v>233390.23376999999</v>
      </c>
      <c r="G126">
        <v>260752.58924</v>
      </c>
      <c r="H126">
        <v>287194.68427999999</v>
      </c>
      <c r="I126">
        <v>320619.84505</v>
      </c>
      <c r="J126">
        <v>323369.65652000002</v>
      </c>
      <c r="AA126">
        <v>109461887.5</v>
      </c>
      <c r="AB126">
        <v>101083123.66</v>
      </c>
      <c r="AC126">
        <v>96328202.329999998</v>
      </c>
      <c r="AD126">
        <v>104157924.88</v>
      </c>
      <c r="AE126">
        <v>96628374.261000007</v>
      </c>
      <c r="AF126">
        <v>103385444.90000001</v>
      </c>
      <c r="AG126">
        <v>116005836.90000001</v>
      </c>
      <c r="AH126">
        <v>121410881.62</v>
      </c>
    </row>
    <row r="127" spans="1:34" x14ac:dyDescent="0.35">
      <c r="A127" t="s">
        <v>188</v>
      </c>
      <c r="B127" t="s">
        <v>375</v>
      </c>
      <c r="C127">
        <v>12944.105433999999</v>
      </c>
      <c r="D127">
        <v>13885.476500000001</v>
      </c>
      <c r="E127">
        <v>15614.008098</v>
      </c>
      <c r="F127">
        <v>13030.019181</v>
      </c>
      <c r="G127">
        <v>21352.655905</v>
      </c>
      <c r="H127">
        <v>20562.011148000001</v>
      </c>
      <c r="I127">
        <v>15576.204449999999</v>
      </c>
      <c r="J127">
        <v>31542.929917000001</v>
      </c>
      <c r="AA127">
        <v>318991217.95999998</v>
      </c>
      <c r="AB127">
        <v>298838801.75</v>
      </c>
      <c r="AC127">
        <v>281256876.98000002</v>
      </c>
      <c r="AD127">
        <v>311657669.51999998</v>
      </c>
      <c r="AE127">
        <v>295489741.56</v>
      </c>
      <c r="AF127">
        <v>318696102.22000003</v>
      </c>
      <c r="AG127">
        <v>359136774.60000002</v>
      </c>
      <c r="AH127">
        <v>381295907.25999999</v>
      </c>
    </row>
    <row r="128" spans="1:34" x14ac:dyDescent="0.35">
      <c r="A128" t="s">
        <v>189</v>
      </c>
      <c r="B128" t="s">
        <v>376</v>
      </c>
      <c r="C128">
        <v>694431.18943000003</v>
      </c>
      <c r="D128">
        <v>787951.87335999997</v>
      </c>
      <c r="E128">
        <v>830292.59287000005</v>
      </c>
      <c r="F128">
        <v>643514.21582000004</v>
      </c>
      <c r="G128">
        <v>773691.30743000004</v>
      </c>
      <c r="H128">
        <v>804328.37002000003</v>
      </c>
      <c r="I128">
        <v>876569.2267</v>
      </c>
      <c r="J128">
        <v>835664.14521999995</v>
      </c>
      <c r="AA128">
        <v>318991217.95999998</v>
      </c>
      <c r="AB128">
        <v>298838801.75</v>
      </c>
      <c r="AC128">
        <v>281256876.98000002</v>
      </c>
      <c r="AD128">
        <v>311657669.51999998</v>
      </c>
      <c r="AE128">
        <v>295489741.56</v>
      </c>
      <c r="AF128">
        <v>318696102.22000003</v>
      </c>
      <c r="AG128">
        <v>359136774.60000002</v>
      </c>
      <c r="AH128">
        <v>381295907.25999999</v>
      </c>
    </row>
    <row r="129" spans="1:34" x14ac:dyDescent="0.35">
      <c r="A129" t="s">
        <v>190</v>
      </c>
      <c r="B129" t="s">
        <v>377</v>
      </c>
      <c r="C129">
        <v>3951.5028695999999</v>
      </c>
      <c r="D129">
        <v>5174.2476905000003</v>
      </c>
      <c r="E129">
        <v>4470.0011310999998</v>
      </c>
      <c r="F129">
        <v>2816.5594999999998</v>
      </c>
      <c r="G129">
        <v>3391.8750476</v>
      </c>
      <c r="H129">
        <v>2933.4526721000002</v>
      </c>
      <c r="I129">
        <v>1784.4155499999999</v>
      </c>
      <c r="J129">
        <v>3119.0576999999998</v>
      </c>
      <c r="AA129">
        <v>1830394.3204999999</v>
      </c>
      <c r="AB129">
        <v>1559001.4228999999</v>
      </c>
      <c r="AC129">
        <v>1399181.1610000001</v>
      </c>
      <c r="AD129">
        <v>1429335.9273999999</v>
      </c>
      <c r="AE129">
        <v>1236345.4224</v>
      </c>
      <c r="AF129">
        <v>1209206.1325999999</v>
      </c>
      <c r="AG129">
        <v>1206190.656</v>
      </c>
      <c r="AH129">
        <v>1236345.4224</v>
      </c>
    </row>
    <row r="130" spans="1:34" x14ac:dyDescent="0.35">
      <c r="A130" t="s">
        <v>68</v>
      </c>
      <c r="B130" t="s">
        <v>22</v>
      </c>
      <c r="C130">
        <v>254930.86113</v>
      </c>
      <c r="D130">
        <v>280826.24086000002</v>
      </c>
      <c r="E130">
        <v>287057.50777000003</v>
      </c>
      <c r="F130">
        <v>249072.52090999999</v>
      </c>
      <c r="G130">
        <v>267835.91064000002</v>
      </c>
      <c r="H130">
        <v>304786.01102999999</v>
      </c>
      <c r="I130">
        <v>456711.41960000002</v>
      </c>
      <c r="J130">
        <v>0</v>
      </c>
      <c r="AA130">
        <v>79874370.483999997</v>
      </c>
      <c r="AB130">
        <v>82780102.928000003</v>
      </c>
      <c r="AC130">
        <v>80517624.231000006</v>
      </c>
      <c r="AD130">
        <v>77678435.277999997</v>
      </c>
      <c r="AE130">
        <v>68739426.305999994</v>
      </c>
      <c r="AF130">
        <v>91186763.971000001</v>
      </c>
      <c r="AG130">
        <v>97774569.590000004</v>
      </c>
      <c r="AH130">
        <v>88990828.763999999</v>
      </c>
    </row>
    <row r="131" spans="1:34" x14ac:dyDescent="0.35">
      <c r="A131" t="s">
        <v>191</v>
      </c>
      <c r="B131" t="s">
        <v>378</v>
      </c>
      <c r="C131">
        <v>18482.580086999998</v>
      </c>
      <c r="D131">
        <v>15523.089094999999</v>
      </c>
      <c r="E131">
        <v>15930.17577</v>
      </c>
      <c r="F131">
        <v>10330.567818</v>
      </c>
      <c r="G131">
        <v>11458.624785</v>
      </c>
      <c r="H131">
        <v>12584.545295</v>
      </c>
      <c r="I131">
        <v>24133.368600000002</v>
      </c>
      <c r="J131">
        <v>24683.684916999999</v>
      </c>
      <c r="AA131">
        <v>3001407.5392</v>
      </c>
      <c r="AB131">
        <v>2920288.4164999998</v>
      </c>
      <c r="AC131">
        <v>2473029.5761000002</v>
      </c>
      <c r="AD131">
        <v>2709521.4753999999</v>
      </c>
      <c r="AE131">
        <v>2412559.8673999999</v>
      </c>
      <c r="AF131">
        <v>2798008.4166999999</v>
      </c>
      <c r="AG131">
        <v>3433919.4205</v>
      </c>
      <c r="AH131">
        <v>3581183.0214</v>
      </c>
    </row>
    <row r="132" spans="1:34" x14ac:dyDescent="0.35">
      <c r="A132" t="s">
        <v>69</v>
      </c>
      <c r="B132" t="s">
        <v>23</v>
      </c>
      <c r="C132">
        <v>4755.6327825999997</v>
      </c>
      <c r="D132">
        <v>5275.1428095000001</v>
      </c>
      <c r="E132">
        <v>4514.8661966999998</v>
      </c>
      <c r="F132">
        <v>2971.6455000000001</v>
      </c>
      <c r="G132">
        <v>2697.1645475999999</v>
      </c>
      <c r="H132">
        <v>2933.8046884999999</v>
      </c>
      <c r="I132">
        <v>3657.9776499999998</v>
      </c>
      <c r="J132">
        <v>5526.268</v>
      </c>
      <c r="AA132">
        <v>2262162.324</v>
      </c>
      <c r="AB132">
        <v>1929240.3215999999</v>
      </c>
      <c r="AC132">
        <v>1539224.5595</v>
      </c>
      <c r="AD132">
        <v>1630269.2653999999</v>
      </c>
      <c r="AE132">
        <v>1533534.2653000001</v>
      </c>
      <c r="AF132">
        <v>1436311.4353</v>
      </c>
      <c r="AG132">
        <v>1916978.0344</v>
      </c>
      <c r="AH132">
        <v>1769080.6192999999</v>
      </c>
    </row>
    <row r="133" spans="1:34" x14ac:dyDescent="0.35">
      <c r="A133" t="s">
        <v>192</v>
      </c>
      <c r="B133" t="s">
        <v>379</v>
      </c>
      <c r="C133">
        <v>10858.220695</v>
      </c>
      <c r="D133">
        <v>10826.987832999999</v>
      </c>
      <c r="E133">
        <v>9676.6374754000008</v>
      </c>
      <c r="F133">
        <v>7698.9925455000002</v>
      </c>
      <c r="G133">
        <v>9677.8143333000007</v>
      </c>
      <c r="H133">
        <v>11521.129836</v>
      </c>
      <c r="I133">
        <v>15188.330400000001</v>
      </c>
      <c r="J133">
        <v>22163.229800000001</v>
      </c>
      <c r="AA133">
        <v>1768840.5</v>
      </c>
      <c r="AB133">
        <v>1714816.8</v>
      </c>
      <c r="AC133">
        <v>1614046.77</v>
      </c>
      <c r="AD133">
        <v>1790881.11</v>
      </c>
      <c r="AE133">
        <v>1357463.61</v>
      </c>
      <c r="AF133">
        <v>1328965.56</v>
      </c>
      <c r="AG133">
        <v>1299510</v>
      </c>
      <c r="AH133">
        <v>1406936.16</v>
      </c>
    </row>
    <row r="134" spans="1:34" x14ac:dyDescent="0.35">
      <c r="A134" t="s">
        <v>193</v>
      </c>
      <c r="B134" t="s">
        <v>380</v>
      </c>
      <c r="C134">
        <v>104735.82743</v>
      </c>
      <c r="D134">
        <v>112613.45566000001</v>
      </c>
      <c r="E134">
        <v>122498.19044000001</v>
      </c>
      <c r="F134">
        <v>97135.197954999996</v>
      </c>
      <c r="G134">
        <v>92331.425333000007</v>
      </c>
      <c r="H134">
        <v>92558.244000000006</v>
      </c>
      <c r="I134">
        <v>117553.1658</v>
      </c>
      <c r="J134">
        <v>104813.93861</v>
      </c>
      <c r="AA134">
        <v>25373574.884</v>
      </c>
      <c r="AB134">
        <v>26953411.425000001</v>
      </c>
      <c r="AC134">
        <v>28766434.526000001</v>
      </c>
      <c r="AD134">
        <v>28044222.563999999</v>
      </c>
      <c r="AE134">
        <v>24293635.318999998</v>
      </c>
      <c r="AF134">
        <v>23024269.171</v>
      </c>
      <c r="AG134">
        <v>22576021.607000001</v>
      </c>
      <c r="AH134">
        <v>22606021.658</v>
      </c>
    </row>
    <row r="135" spans="1:34" x14ac:dyDescent="0.35">
      <c r="A135" t="s">
        <v>479</v>
      </c>
      <c r="B135" t="s">
        <v>492</v>
      </c>
      <c r="C135">
        <v>142.75982608999999</v>
      </c>
      <c r="D135">
        <v>246.25459523999999</v>
      </c>
      <c r="E135">
        <v>589.75386885</v>
      </c>
      <c r="F135">
        <v>500.00513635999999</v>
      </c>
      <c r="G135">
        <v>422.71290476000001</v>
      </c>
      <c r="H135">
        <v>555.61795082000003</v>
      </c>
      <c r="I135">
        <v>41.409399999999998</v>
      </c>
      <c r="J135">
        <v>0</v>
      </c>
      <c r="AA135">
        <v>407591.73</v>
      </c>
      <c r="AB135">
        <v>462193.641</v>
      </c>
      <c r="AC135">
        <v>630618.89260000002</v>
      </c>
      <c r="AD135">
        <v>653690.31550000003</v>
      </c>
      <c r="AE135">
        <v>671378.40639000002</v>
      </c>
      <c r="AF135">
        <v>678294.16200000001</v>
      </c>
      <c r="AG135">
        <v>682139.36699999997</v>
      </c>
    </row>
    <row r="136" spans="1:34" x14ac:dyDescent="0.35">
      <c r="A136" t="s">
        <v>194</v>
      </c>
      <c r="B136" t="s">
        <v>381</v>
      </c>
      <c r="C136">
        <v>4809.7076956999999</v>
      </c>
      <c r="D136">
        <v>5861.8232380999998</v>
      </c>
      <c r="E136">
        <v>5670.2134097999997</v>
      </c>
      <c r="F136">
        <v>6353.8502726999996</v>
      </c>
      <c r="G136">
        <v>5510.8002857000001</v>
      </c>
      <c r="H136">
        <v>5001.4340163999996</v>
      </c>
      <c r="I136">
        <v>9181.2199999999993</v>
      </c>
      <c r="J136">
        <v>7989.7892000000002</v>
      </c>
      <c r="AA136">
        <v>1657283.3049999999</v>
      </c>
      <c r="AB136">
        <v>1575200.8770999999</v>
      </c>
      <c r="AC136">
        <v>1463803.2964999999</v>
      </c>
      <c r="AD136">
        <v>1665100.679</v>
      </c>
      <c r="AE136">
        <v>1680735.4272</v>
      </c>
      <c r="AF136">
        <v>1807767.7560000001</v>
      </c>
      <c r="AG136">
        <v>2040334.6348999999</v>
      </c>
      <c r="AH136">
        <v>2267038.4832000001</v>
      </c>
    </row>
    <row r="137" spans="1:34" x14ac:dyDescent="0.35">
      <c r="A137" t="s">
        <v>208</v>
      </c>
      <c r="B137" t="s">
        <v>394</v>
      </c>
      <c r="C137">
        <v>9717.5023044000009</v>
      </c>
      <c r="D137">
        <v>11405.373380999999</v>
      </c>
      <c r="E137">
        <v>11922.107884999999</v>
      </c>
      <c r="F137">
        <v>7574.4394091000004</v>
      </c>
      <c r="G137">
        <v>6644.5099048000002</v>
      </c>
      <c r="H137">
        <v>7795.1641966999996</v>
      </c>
      <c r="I137">
        <v>11082.29905</v>
      </c>
      <c r="J137">
        <v>10624.030483</v>
      </c>
      <c r="AA137">
        <v>4058037.66</v>
      </c>
      <c r="AB137">
        <v>3677173.07</v>
      </c>
      <c r="AC137">
        <v>3721900.94</v>
      </c>
      <c r="AD137">
        <v>3896746.25</v>
      </c>
      <c r="AE137">
        <v>3742231.79</v>
      </c>
      <c r="AF137">
        <v>3846596.82</v>
      </c>
      <c r="AG137">
        <v>4014665.18</v>
      </c>
      <c r="AH137">
        <v>4350801.9000000004</v>
      </c>
    </row>
    <row r="138" spans="1:34" x14ac:dyDescent="0.35">
      <c r="A138" t="s">
        <v>480</v>
      </c>
      <c r="B138" t="s">
        <v>493</v>
      </c>
      <c r="F138">
        <v>61.892636363999998</v>
      </c>
      <c r="G138">
        <v>32.419952381000002</v>
      </c>
      <c r="H138">
        <v>22.321934425999999</v>
      </c>
      <c r="I138">
        <v>0</v>
      </c>
      <c r="J138">
        <v>0</v>
      </c>
    </row>
    <row r="139" spans="1:34" x14ac:dyDescent="0.35">
      <c r="A139" t="s">
        <v>235</v>
      </c>
      <c r="B139" t="s">
        <v>420</v>
      </c>
      <c r="C139">
        <v>15410.768434</v>
      </c>
      <c r="D139">
        <v>15865.737261</v>
      </c>
      <c r="E139">
        <v>13711.435409</v>
      </c>
      <c r="F139">
        <v>7978.2863636000002</v>
      </c>
      <c r="G139">
        <v>7956.0198332999998</v>
      </c>
      <c r="H139">
        <v>8363.0127704999995</v>
      </c>
      <c r="I139">
        <v>7835.5160999999998</v>
      </c>
      <c r="J139">
        <v>6034.3326166999996</v>
      </c>
      <c r="AA139">
        <v>561810.24</v>
      </c>
      <c r="AB139">
        <v>507189.8</v>
      </c>
      <c r="AC139">
        <v>421357.68</v>
      </c>
      <c r="AD139">
        <v>454520.09</v>
      </c>
      <c r="AE139">
        <v>421357.68</v>
      </c>
      <c r="AF139">
        <v>560745.06999999995</v>
      </c>
      <c r="AG139">
        <v>571090.92000000004</v>
      </c>
      <c r="AH139">
        <v>595920.96</v>
      </c>
    </row>
    <row r="140" spans="1:34" x14ac:dyDescent="0.35">
      <c r="A140" t="s">
        <v>70</v>
      </c>
      <c r="B140" t="s">
        <v>24</v>
      </c>
      <c r="C140">
        <v>8193.0627390999998</v>
      </c>
      <c r="D140">
        <v>8956.6379761999997</v>
      </c>
      <c r="E140">
        <v>8875.2830819999999</v>
      </c>
      <c r="F140">
        <v>11216.979818</v>
      </c>
      <c r="G140">
        <v>8599.6772142999998</v>
      </c>
      <c r="H140">
        <v>7367.1960327999996</v>
      </c>
      <c r="I140">
        <v>4384.4763000000003</v>
      </c>
      <c r="J140">
        <v>9959.6942166999997</v>
      </c>
      <c r="AA140">
        <v>1987370.58</v>
      </c>
      <c r="AB140">
        <v>1774751.8</v>
      </c>
      <c r="AC140">
        <v>1567428.31</v>
      </c>
      <c r="AD140">
        <v>1594407.92</v>
      </c>
      <c r="AE140">
        <v>1593537.61</v>
      </c>
      <c r="AF140">
        <v>1586319.91</v>
      </c>
      <c r="AG140">
        <v>1827357</v>
      </c>
      <c r="AH140">
        <v>1839539.38</v>
      </c>
    </row>
    <row r="141" spans="1:34" x14ac:dyDescent="0.35">
      <c r="A141" t="s">
        <v>196</v>
      </c>
      <c r="B141" t="s">
        <v>383</v>
      </c>
      <c r="C141">
        <v>919.99304347999998</v>
      </c>
      <c r="D141">
        <v>2166.5609048000001</v>
      </c>
      <c r="E141">
        <v>2414.3288689000001</v>
      </c>
      <c r="F141">
        <v>940.76204544999996</v>
      </c>
      <c r="G141">
        <v>966.68045238000002</v>
      </c>
      <c r="H141">
        <v>957.75475410000001</v>
      </c>
      <c r="I141">
        <v>494.69125000000003</v>
      </c>
      <c r="J141">
        <v>1212.2500167000001</v>
      </c>
      <c r="AA141">
        <v>2803898.281</v>
      </c>
      <c r="AB141">
        <v>2117510.7714</v>
      </c>
      <c r="AC141">
        <v>2198137.4341000002</v>
      </c>
      <c r="AD141">
        <v>2185406.9084000001</v>
      </c>
      <c r="AE141">
        <v>2307407.7795000002</v>
      </c>
      <c r="AF141">
        <v>2233146.3796999999</v>
      </c>
      <c r="AG141">
        <v>2367877.7765000002</v>
      </c>
      <c r="AH141">
        <v>2710541.0926999999</v>
      </c>
    </row>
    <row r="142" spans="1:34" x14ac:dyDescent="0.35">
      <c r="A142" t="s">
        <v>197</v>
      </c>
      <c r="B142" t="s">
        <v>384</v>
      </c>
      <c r="C142">
        <v>161.06030435</v>
      </c>
      <c r="D142">
        <v>205.25311905000001</v>
      </c>
      <c r="E142">
        <v>207.14606556999999</v>
      </c>
      <c r="F142">
        <v>178.12254544999999</v>
      </c>
      <c r="G142">
        <v>172.81297619</v>
      </c>
      <c r="H142">
        <v>188.62465574000001</v>
      </c>
      <c r="I142">
        <v>120.6313</v>
      </c>
      <c r="J142">
        <v>374.47956667</v>
      </c>
      <c r="AA142">
        <v>221033.68</v>
      </c>
      <c r="AB142">
        <v>226525.2</v>
      </c>
      <c r="AC142">
        <v>205932</v>
      </c>
      <c r="AD142">
        <v>189457.44</v>
      </c>
      <c r="AE142">
        <v>160626.96</v>
      </c>
      <c r="AF142">
        <v>196321.84</v>
      </c>
      <c r="AG142">
        <v>189457.44</v>
      </c>
      <c r="AH142">
        <v>240254</v>
      </c>
    </row>
    <row r="143" spans="1:34" x14ac:dyDescent="0.35">
      <c r="A143" t="s">
        <v>71</v>
      </c>
      <c r="B143" t="s">
        <v>25</v>
      </c>
      <c r="C143">
        <v>244638.63991</v>
      </c>
      <c r="D143">
        <v>265354.99618999998</v>
      </c>
      <c r="E143">
        <v>257171.83846</v>
      </c>
      <c r="F143">
        <v>196943.63214</v>
      </c>
      <c r="G143">
        <v>241935.35149999999</v>
      </c>
      <c r="H143">
        <v>238506.10238</v>
      </c>
      <c r="I143">
        <v>218291.39655</v>
      </c>
      <c r="J143">
        <v>265705.46435000002</v>
      </c>
      <c r="AA143">
        <v>17755148.399999999</v>
      </c>
      <c r="AB143">
        <v>14399167.199999999</v>
      </c>
      <c r="AC143">
        <v>12746991.84</v>
      </c>
      <c r="AD143">
        <v>14619074.800000001</v>
      </c>
      <c r="AE143">
        <v>11916123.560000001</v>
      </c>
      <c r="AF143">
        <v>12349059.050000001</v>
      </c>
      <c r="AG143">
        <v>14752228.35</v>
      </c>
      <c r="AH143">
        <v>18336787.600000001</v>
      </c>
    </row>
    <row r="144" spans="1:34" x14ac:dyDescent="0.35">
      <c r="A144" t="s">
        <v>508</v>
      </c>
      <c r="B144" t="s">
        <v>509</v>
      </c>
      <c r="C144">
        <v>41.902565217000003</v>
      </c>
      <c r="D144">
        <v>64.509071429000002</v>
      </c>
      <c r="E144">
        <v>70.659475409999999</v>
      </c>
      <c r="F144">
        <v>71.697181818000004</v>
      </c>
      <c r="G144">
        <v>63.062690476</v>
      </c>
      <c r="H144">
        <v>87.730213114999998</v>
      </c>
      <c r="I144">
        <v>72.065899999999999</v>
      </c>
      <c r="J144">
        <v>71.674400000000006</v>
      </c>
      <c r="AA144">
        <v>228459.6</v>
      </c>
      <c r="AB144">
        <v>190383</v>
      </c>
      <c r="AC144">
        <v>142152.64000000001</v>
      </c>
      <c r="AD144">
        <v>142152.64000000001</v>
      </c>
      <c r="AE144">
        <v>139614.20000000001</v>
      </c>
      <c r="AF144">
        <v>187209.95</v>
      </c>
      <c r="AG144">
        <v>174517.75</v>
      </c>
      <c r="AH144">
        <v>215767.4</v>
      </c>
    </row>
    <row r="145" spans="1:34" x14ac:dyDescent="0.35">
      <c r="A145" t="s">
        <v>198</v>
      </c>
      <c r="B145" t="s">
        <v>385</v>
      </c>
      <c r="C145">
        <v>23962.714651999999</v>
      </c>
      <c r="D145">
        <v>28714.820024000001</v>
      </c>
      <c r="E145">
        <v>27954.210115000002</v>
      </c>
      <c r="F145">
        <v>20740.449317999999</v>
      </c>
      <c r="G145">
        <v>26896.340905000001</v>
      </c>
      <c r="H145">
        <v>28618.422213000002</v>
      </c>
      <c r="I145">
        <v>39986.024250000002</v>
      </c>
      <c r="J145">
        <v>14671.786566000001</v>
      </c>
      <c r="AA145">
        <v>2317049.9202999999</v>
      </c>
      <c r="AB145">
        <v>2088136.5547</v>
      </c>
      <c r="AC145">
        <v>1853674.3547</v>
      </c>
      <c r="AD145">
        <v>1915091.2760999999</v>
      </c>
      <c r="AE145">
        <v>1529839.6783</v>
      </c>
      <c r="AF145">
        <v>1467918.9306000001</v>
      </c>
      <c r="AG145">
        <v>1984714.3592999999</v>
      </c>
      <c r="AH145">
        <v>2067181.7150000001</v>
      </c>
    </row>
    <row r="146" spans="1:34" x14ac:dyDescent="0.35">
      <c r="A146" t="s">
        <v>204</v>
      </c>
      <c r="B146" t="s">
        <v>390</v>
      </c>
      <c r="C146">
        <v>2186.3196087000001</v>
      </c>
      <c r="D146">
        <v>2535.6800238000001</v>
      </c>
      <c r="E146">
        <v>2900.8518524999999</v>
      </c>
      <c r="F146">
        <v>2474.4509545000001</v>
      </c>
      <c r="G146">
        <v>2442.7977142999998</v>
      </c>
      <c r="H146">
        <v>2305.1398361000001</v>
      </c>
      <c r="I146">
        <v>1421.0514499999999</v>
      </c>
      <c r="J146">
        <v>979.94709999999998</v>
      </c>
      <c r="AA146">
        <v>1497420.6007000001</v>
      </c>
      <c r="AB146">
        <v>1446836.3813</v>
      </c>
      <c r="AC146">
        <v>1242955.987</v>
      </c>
      <c r="AD146">
        <v>1359056.2715</v>
      </c>
      <c r="AE146">
        <v>1263444.2725</v>
      </c>
      <c r="AF146">
        <v>1301708.1963</v>
      </c>
      <c r="AG146">
        <v>1619527.8598</v>
      </c>
      <c r="AH146">
        <v>1602622.5585</v>
      </c>
    </row>
    <row r="147" spans="1:34" x14ac:dyDescent="0.35">
      <c r="A147" t="s">
        <v>199</v>
      </c>
      <c r="B147" t="s">
        <v>386</v>
      </c>
      <c r="C147">
        <v>26341.394783</v>
      </c>
      <c r="D147">
        <v>30157.855333</v>
      </c>
      <c r="E147">
        <v>26233.940672000001</v>
      </c>
      <c r="F147">
        <v>13008.692681</v>
      </c>
      <c r="G147">
        <v>15016.117738000001</v>
      </c>
      <c r="H147">
        <v>14960.333737000001</v>
      </c>
      <c r="I147">
        <v>13539.09355</v>
      </c>
      <c r="J147">
        <v>19100.866216999999</v>
      </c>
      <c r="AA147">
        <v>8376594.6982000005</v>
      </c>
      <c r="AB147">
        <v>7438791.2133999998</v>
      </c>
      <c r="AC147">
        <v>6721295.4151999997</v>
      </c>
      <c r="AD147">
        <v>8072259.0323000001</v>
      </c>
      <c r="AE147">
        <v>7529191.7718000002</v>
      </c>
      <c r="AF147">
        <v>7626407.5159999998</v>
      </c>
      <c r="AG147">
        <v>8504701.4804999996</v>
      </c>
      <c r="AH147">
        <v>7971691.0210999995</v>
      </c>
    </row>
    <row r="148" spans="1:34" x14ac:dyDescent="0.35">
      <c r="A148" t="s">
        <v>213</v>
      </c>
      <c r="B148" t="s">
        <v>399</v>
      </c>
      <c r="C148">
        <v>10071.521651999999</v>
      </c>
      <c r="D148">
        <v>11206.441309</v>
      </c>
      <c r="E148">
        <v>10374.948623</v>
      </c>
      <c r="F148">
        <v>8240.2138181999999</v>
      </c>
      <c r="G148">
        <v>7210.7250237999997</v>
      </c>
      <c r="H148">
        <v>7022.8942623000003</v>
      </c>
      <c r="I148">
        <v>7607.5299500000001</v>
      </c>
      <c r="J148">
        <v>22027.583350000001</v>
      </c>
      <c r="AA148">
        <v>1350872.4232000001</v>
      </c>
      <c r="AB148">
        <v>1036735.6314</v>
      </c>
      <c r="AC148">
        <v>905183.93160000001</v>
      </c>
      <c r="AD148">
        <v>1025036.9892</v>
      </c>
      <c r="AE148">
        <v>1018331.923</v>
      </c>
      <c r="AF148">
        <v>1209426.3086000001</v>
      </c>
      <c r="AG148">
        <v>1379567.3624</v>
      </c>
      <c r="AH148">
        <v>1731583.3358</v>
      </c>
    </row>
    <row r="149" spans="1:34" x14ac:dyDescent="0.35">
      <c r="A149" t="s">
        <v>73</v>
      </c>
      <c r="B149" t="s">
        <v>27</v>
      </c>
      <c r="C149">
        <v>1383.5571304</v>
      </c>
      <c r="D149">
        <v>1987.0877381</v>
      </c>
      <c r="E149">
        <v>1974.0926393</v>
      </c>
      <c r="F149">
        <v>1243.1986363999999</v>
      </c>
      <c r="G149">
        <v>1274.2057619</v>
      </c>
      <c r="H149">
        <v>1460.0129999999999</v>
      </c>
      <c r="I149">
        <v>1780.3758</v>
      </c>
      <c r="J149">
        <v>2392.5995167000001</v>
      </c>
      <c r="AA149">
        <v>726100.88944000006</v>
      </c>
      <c r="AB149">
        <v>695506.75083999999</v>
      </c>
      <c r="AC149">
        <v>725166.10765000002</v>
      </c>
      <c r="AD149">
        <v>770105.97910999996</v>
      </c>
      <c r="AE149">
        <v>763977.81481999997</v>
      </c>
      <c r="AF149">
        <v>653670.85759999999</v>
      </c>
      <c r="AG149">
        <v>661841.74332000001</v>
      </c>
      <c r="AH149">
        <v>696568.00763000001</v>
      </c>
    </row>
    <row r="150" spans="1:34" x14ac:dyDescent="0.35">
      <c r="A150" t="s">
        <v>206</v>
      </c>
      <c r="B150" t="s">
        <v>392</v>
      </c>
      <c r="C150">
        <v>0.12304347826000001</v>
      </c>
      <c r="D150">
        <v>1.6654761905</v>
      </c>
      <c r="E150">
        <v>1.5468852459</v>
      </c>
      <c r="F150">
        <v>0.81363636364000003</v>
      </c>
      <c r="G150">
        <v>2.2611428570999998</v>
      </c>
      <c r="H150">
        <v>2.0873114753999999</v>
      </c>
      <c r="I150">
        <v>1.3465</v>
      </c>
      <c r="J150">
        <v>2.7187000000000001</v>
      </c>
      <c r="AA150">
        <v>156687</v>
      </c>
      <c r="AB150">
        <v>163896.65578</v>
      </c>
      <c r="AC150">
        <v>385353</v>
      </c>
      <c r="AD150">
        <v>377154</v>
      </c>
      <c r="AE150">
        <v>389862.45</v>
      </c>
      <c r="AF150">
        <v>391502.25</v>
      </c>
      <c r="AG150">
        <v>397651.5</v>
      </c>
      <c r="AH150">
        <v>389452.5</v>
      </c>
    </row>
    <row r="151" spans="1:34" x14ac:dyDescent="0.35">
      <c r="A151" t="s">
        <v>200</v>
      </c>
      <c r="B151" t="s">
        <v>387</v>
      </c>
      <c r="C151">
        <v>15.426</v>
      </c>
      <c r="D151">
        <v>12.521404760999999</v>
      </c>
      <c r="E151">
        <v>11.756786885</v>
      </c>
      <c r="F151">
        <v>10.534909089999999</v>
      </c>
      <c r="G151">
        <v>11.591523809</v>
      </c>
      <c r="H151">
        <v>9.0306065574000005</v>
      </c>
      <c r="I151">
        <v>14.47185</v>
      </c>
      <c r="J151">
        <v>11.862316666</v>
      </c>
      <c r="AA151">
        <v>45571.71056</v>
      </c>
      <c r="AB151">
        <v>37880.0386</v>
      </c>
      <c r="AC151">
        <v>46207.863879999997</v>
      </c>
      <c r="AD151">
        <v>46034.36752</v>
      </c>
      <c r="AE151">
        <v>38169.199200000003</v>
      </c>
      <c r="AF151">
        <v>38111.367080000004</v>
      </c>
      <c r="AG151">
        <v>34294.447160000003</v>
      </c>
      <c r="AH151">
        <v>30130.534520000001</v>
      </c>
    </row>
    <row r="152" spans="1:34" x14ac:dyDescent="0.35">
      <c r="A152" t="s">
        <v>72</v>
      </c>
      <c r="B152" t="s">
        <v>26</v>
      </c>
      <c r="C152">
        <v>203803.83600000001</v>
      </c>
      <c r="D152">
        <v>257706.32190000001</v>
      </c>
      <c r="E152">
        <v>252537.27974999999</v>
      </c>
      <c r="F152">
        <v>149054.24600000001</v>
      </c>
      <c r="G152">
        <v>173638.11231</v>
      </c>
      <c r="H152">
        <v>216752.66615999999</v>
      </c>
      <c r="I152">
        <v>338312.12680000003</v>
      </c>
      <c r="J152">
        <v>187841.36676999999</v>
      </c>
      <c r="AA152">
        <v>6963129.6907000002</v>
      </c>
      <c r="AB152">
        <v>6646623.7955999998</v>
      </c>
      <c r="AC152">
        <v>4784391.4364999998</v>
      </c>
      <c r="AD152">
        <v>5461566.8398000002</v>
      </c>
      <c r="AE152">
        <v>5262830.5800999999</v>
      </c>
      <c r="AF152">
        <v>7477045.5094999997</v>
      </c>
      <c r="AG152">
        <v>6865622.0835999995</v>
      </c>
      <c r="AH152">
        <v>6791956.6106000002</v>
      </c>
    </row>
    <row r="153" spans="1:34" x14ac:dyDescent="0.35">
      <c r="A153" t="s">
        <v>209</v>
      </c>
      <c r="B153" t="s">
        <v>395</v>
      </c>
      <c r="C153">
        <v>11390.402695000001</v>
      </c>
      <c r="D153">
        <v>11360.009881</v>
      </c>
      <c r="E153">
        <v>10738.699049000001</v>
      </c>
      <c r="F153">
        <v>5599.8100455000003</v>
      </c>
      <c r="G153">
        <v>6881.7436905000004</v>
      </c>
      <c r="H153">
        <v>6752.2471148000004</v>
      </c>
      <c r="I153">
        <v>6656.6068999999998</v>
      </c>
      <c r="J153">
        <v>19431.201267</v>
      </c>
      <c r="AA153">
        <v>2444673</v>
      </c>
      <c r="AB153">
        <v>2179251.36</v>
      </c>
      <c r="AC153">
        <v>1892857.3762999999</v>
      </c>
      <c r="AD153">
        <v>2099084</v>
      </c>
      <c r="AE153">
        <v>2003774.24</v>
      </c>
      <c r="AF153">
        <v>2133854.36</v>
      </c>
      <c r="AG153">
        <v>2291750.56</v>
      </c>
      <c r="AH153">
        <v>2404533.56</v>
      </c>
    </row>
    <row r="154" spans="1:34" x14ac:dyDescent="0.35">
      <c r="A154" t="s">
        <v>214</v>
      </c>
      <c r="B154" t="s">
        <v>400</v>
      </c>
      <c r="C154">
        <v>2807.1204348000001</v>
      </c>
      <c r="D154">
        <v>3433.7872857000002</v>
      </c>
      <c r="E154">
        <v>3215.1155738000002</v>
      </c>
      <c r="F154">
        <v>2145.0450455</v>
      </c>
      <c r="G154">
        <v>1793.7067380999999</v>
      </c>
      <c r="H154">
        <v>1740.1046557</v>
      </c>
      <c r="I154">
        <v>1806.3362999999999</v>
      </c>
      <c r="J154">
        <v>2034.9712333</v>
      </c>
      <c r="AA154">
        <v>1308008.6388000001</v>
      </c>
      <c r="AB154">
        <v>1025414.1798</v>
      </c>
      <c r="AC154">
        <v>855857.50439999998</v>
      </c>
      <c r="AD154">
        <v>1001191.7976</v>
      </c>
      <c r="AE154">
        <v>912376.39619999996</v>
      </c>
      <c r="AF154">
        <v>985043.54280000005</v>
      </c>
      <c r="AG154">
        <v>985043.54280000005</v>
      </c>
      <c r="AH154">
        <v>839709.24959999998</v>
      </c>
    </row>
    <row r="155" spans="1:34" x14ac:dyDescent="0.35">
      <c r="A155" t="s">
        <v>74</v>
      </c>
      <c r="B155" t="s">
        <v>28</v>
      </c>
      <c r="C155">
        <v>26685.204435</v>
      </c>
      <c r="D155">
        <v>38311.247405000002</v>
      </c>
      <c r="E155">
        <v>37041.586884999997</v>
      </c>
      <c r="F155">
        <v>19669.050408999999</v>
      </c>
      <c r="G155">
        <v>21604.09431</v>
      </c>
      <c r="H155">
        <v>24302.755459</v>
      </c>
      <c r="I155">
        <v>39766.46615</v>
      </c>
      <c r="J155">
        <v>40594.860166999999</v>
      </c>
      <c r="AA155">
        <v>2147229.3420000002</v>
      </c>
      <c r="AB155">
        <v>1878825.6743000001</v>
      </c>
      <c r="AC155">
        <v>1264177.3755999999</v>
      </c>
      <c r="AD155">
        <v>1464160.2372999999</v>
      </c>
      <c r="AE155">
        <v>1271319.6207000001</v>
      </c>
      <c r="AF155">
        <v>1709660.7871999999</v>
      </c>
      <c r="AG155">
        <v>2461772.2536999998</v>
      </c>
      <c r="AH155">
        <v>2418123.6886999998</v>
      </c>
    </row>
    <row r="156" spans="1:34" x14ac:dyDescent="0.35">
      <c r="A156" t="s">
        <v>75</v>
      </c>
      <c r="B156" t="s">
        <v>29</v>
      </c>
      <c r="C156">
        <v>84084.622912999999</v>
      </c>
      <c r="D156">
        <v>101023.56342000001</v>
      </c>
      <c r="E156">
        <v>96246.111474999998</v>
      </c>
      <c r="F156">
        <v>54134.898091000003</v>
      </c>
      <c r="G156">
        <v>57539.697429</v>
      </c>
      <c r="H156">
        <v>55624.294868999998</v>
      </c>
      <c r="I156">
        <v>73055.70955</v>
      </c>
      <c r="J156">
        <v>59891.462433000001</v>
      </c>
      <c r="AA156">
        <v>3894755.92</v>
      </c>
      <c r="AB156">
        <v>2971721.28</v>
      </c>
      <c r="AC156">
        <v>2988606.06</v>
      </c>
      <c r="AD156">
        <v>3219364.72</v>
      </c>
      <c r="AE156">
        <v>2538345.2599999998</v>
      </c>
      <c r="AF156">
        <v>2876040.86</v>
      </c>
      <c r="AG156">
        <v>3331929.92</v>
      </c>
      <c r="AH156">
        <v>2977349.54</v>
      </c>
    </row>
    <row r="157" spans="1:34" x14ac:dyDescent="0.35">
      <c r="A157" t="s">
        <v>211</v>
      </c>
      <c r="B157" t="s">
        <v>397</v>
      </c>
      <c r="C157">
        <v>2219.6076087000001</v>
      </c>
      <c r="D157">
        <v>2663.1407380999999</v>
      </c>
      <c r="E157">
        <v>2692.7215574000002</v>
      </c>
      <c r="F157">
        <v>1735.4752272999999</v>
      </c>
      <c r="G157">
        <v>1686.6929286</v>
      </c>
      <c r="H157">
        <v>1802.2676065999999</v>
      </c>
      <c r="I157">
        <v>2613.9769500000002</v>
      </c>
      <c r="J157">
        <v>2115.6444833</v>
      </c>
      <c r="AA157">
        <v>390309.0858</v>
      </c>
      <c r="AB157">
        <v>372327.3664</v>
      </c>
      <c r="AC157">
        <v>306746.978</v>
      </c>
      <c r="AD157">
        <v>349056.90600000002</v>
      </c>
      <c r="AE157">
        <v>321555.45280000003</v>
      </c>
      <c r="AF157">
        <v>356461.1434</v>
      </c>
      <c r="AG157">
        <v>406175.3088</v>
      </c>
      <c r="AH157">
        <v>426272.5246</v>
      </c>
    </row>
    <row r="158" spans="1:34" x14ac:dyDescent="0.35">
      <c r="A158" t="s">
        <v>215</v>
      </c>
      <c r="B158" t="s">
        <v>401</v>
      </c>
      <c r="C158">
        <v>77923.082391000004</v>
      </c>
      <c r="D158">
        <v>87742.014762000006</v>
      </c>
      <c r="E158">
        <v>95637.218311999997</v>
      </c>
      <c r="F158">
        <v>84643.055135999995</v>
      </c>
      <c r="G158">
        <v>110862.16933</v>
      </c>
      <c r="H158">
        <v>109283.72937</v>
      </c>
      <c r="I158">
        <v>123798.84865</v>
      </c>
      <c r="J158">
        <v>99604.686317</v>
      </c>
      <c r="AA158">
        <v>13873969.107999999</v>
      </c>
      <c r="AB158">
        <v>12350904.446</v>
      </c>
      <c r="AC158">
        <v>10101337.425000001</v>
      </c>
      <c r="AD158">
        <v>10902411.668</v>
      </c>
      <c r="AE158">
        <v>10237809.253</v>
      </c>
      <c r="AF158">
        <v>11041187.105</v>
      </c>
      <c r="AG158">
        <v>12575228.145</v>
      </c>
      <c r="AH158">
        <v>13132172.981000001</v>
      </c>
    </row>
    <row r="159" spans="1:34" x14ac:dyDescent="0.35">
      <c r="A159" t="s">
        <v>66</v>
      </c>
      <c r="B159" t="s">
        <v>20</v>
      </c>
      <c r="C159">
        <v>11527.339825999999</v>
      </c>
      <c r="D159">
        <v>14548.613547000001</v>
      </c>
      <c r="E159">
        <v>13841.785163</v>
      </c>
      <c r="F159">
        <v>14385.958726999999</v>
      </c>
      <c r="G159">
        <v>12933.353309</v>
      </c>
      <c r="H159">
        <v>13201.474179999999</v>
      </c>
      <c r="I159">
        <v>14248.49755</v>
      </c>
      <c r="J159">
        <v>15193.500216</v>
      </c>
      <c r="AA159">
        <v>1526156.3</v>
      </c>
      <c r="AB159">
        <v>1756802.1</v>
      </c>
      <c r="AC159">
        <v>1689405.6</v>
      </c>
      <c r="AD159">
        <v>2056342.1</v>
      </c>
      <c r="AE159">
        <v>1908069.8</v>
      </c>
      <c r="AF159">
        <v>1744820.5</v>
      </c>
      <c r="AG159">
        <v>1845166.4</v>
      </c>
      <c r="AH159">
        <v>1819705.5</v>
      </c>
    </row>
    <row r="160" spans="1:34" x14ac:dyDescent="0.35">
      <c r="A160" t="s">
        <v>76</v>
      </c>
      <c r="B160" t="s">
        <v>30</v>
      </c>
      <c r="C160">
        <v>24332.133609</v>
      </c>
      <c r="D160">
        <v>30073.918310000001</v>
      </c>
      <c r="E160">
        <v>31512.925343999999</v>
      </c>
      <c r="F160">
        <v>15052.458635999999</v>
      </c>
      <c r="G160">
        <v>23556.044952</v>
      </c>
      <c r="H160">
        <v>23346.066393000001</v>
      </c>
      <c r="I160">
        <v>28928.716250000001</v>
      </c>
      <c r="J160">
        <v>104448.20892999999</v>
      </c>
      <c r="AA160">
        <v>23159053.690000001</v>
      </c>
      <c r="AB160">
        <v>23522808.460000001</v>
      </c>
      <c r="AC160">
        <v>22940790.813999999</v>
      </c>
      <c r="AD160">
        <v>22783080.460000001</v>
      </c>
      <c r="AE160">
        <v>23595895.364</v>
      </c>
      <c r="AF160">
        <v>25368362.482999999</v>
      </c>
      <c r="AG160">
        <v>27795956.978999998</v>
      </c>
      <c r="AH160">
        <v>30405621.061999999</v>
      </c>
    </row>
    <row r="161" spans="1:34" x14ac:dyDescent="0.35">
      <c r="A161" t="s">
        <v>468</v>
      </c>
      <c r="B161" t="s">
        <v>467</v>
      </c>
      <c r="C161">
        <v>126740.62417</v>
      </c>
      <c r="D161">
        <v>137506.00620999999</v>
      </c>
      <c r="E161">
        <v>142866.37672</v>
      </c>
      <c r="F161">
        <v>87782.298590999999</v>
      </c>
      <c r="G161">
        <v>105967.67826</v>
      </c>
      <c r="H161">
        <v>154774.26845999999</v>
      </c>
      <c r="I161">
        <v>118584.42415000001</v>
      </c>
      <c r="J161">
        <v>77550.869082999998</v>
      </c>
      <c r="AA161">
        <v>18997837.32</v>
      </c>
      <c r="AB161">
        <v>19233404.960000001</v>
      </c>
      <c r="AC161">
        <v>17686533.920000002</v>
      </c>
      <c r="AD161">
        <v>17658812.079999998</v>
      </c>
      <c r="AE161">
        <v>17922169.559999999</v>
      </c>
      <c r="AF161">
        <v>13831574.58</v>
      </c>
      <c r="AG161">
        <v>13166994.42</v>
      </c>
      <c r="AH161">
        <v>14496154.74</v>
      </c>
    </row>
    <row r="162" spans="1:34" x14ac:dyDescent="0.35">
      <c r="A162" t="s">
        <v>218</v>
      </c>
      <c r="B162" t="s">
        <v>403</v>
      </c>
      <c r="C162">
        <v>12827.601391</v>
      </c>
      <c r="D162">
        <v>11623.141881</v>
      </c>
      <c r="E162">
        <v>10735.144114000001</v>
      </c>
      <c r="F162">
        <v>10355.183000000001</v>
      </c>
      <c r="G162">
        <v>10739.239904</v>
      </c>
      <c r="H162">
        <v>11014.452064999999</v>
      </c>
      <c r="I162">
        <v>19028.59505</v>
      </c>
      <c r="J162">
        <v>24188.918683</v>
      </c>
      <c r="AA162">
        <v>6021692.193</v>
      </c>
      <c r="AB162">
        <v>5912206.8804000001</v>
      </c>
      <c r="AC162">
        <v>5932892.7819999997</v>
      </c>
      <c r="AD162">
        <v>6167804.7429</v>
      </c>
      <c r="AE162">
        <v>5796316.0604999997</v>
      </c>
      <c r="AF162">
        <v>5695701.5857999995</v>
      </c>
      <c r="AG162">
        <v>5826637.2544999998</v>
      </c>
      <c r="AH162">
        <v>6001218.1459999997</v>
      </c>
    </row>
    <row r="163" spans="1:34" x14ac:dyDescent="0.35">
      <c r="A163" t="s">
        <v>222</v>
      </c>
      <c r="B163" t="s">
        <v>407</v>
      </c>
      <c r="C163">
        <v>117.36747826</v>
      </c>
      <c r="D163">
        <v>116.91642856999999</v>
      </c>
      <c r="E163">
        <v>125.75931147</v>
      </c>
      <c r="F163">
        <v>180.98604545000001</v>
      </c>
      <c r="G163">
        <v>180.05861905</v>
      </c>
      <c r="H163">
        <v>147.11968852000001</v>
      </c>
      <c r="I163">
        <v>76.725399999999993</v>
      </c>
      <c r="J163">
        <v>112.91143332999999</v>
      </c>
      <c r="AA163">
        <v>1188264.0926000001</v>
      </c>
      <c r="AB163">
        <v>1107612.6836000001</v>
      </c>
      <c r="AC163">
        <v>920403.17610000004</v>
      </c>
      <c r="AD163">
        <v>968354.58406000002</v>
      </c>
      <c r="AE163">
        <v>957063.38679999998</v>
      </c>
      <c r="AF163">
        <v>1199017.6137999999</v>
      </c>
      <c r="AG163">
        <v>1204394.3744000001</v>
      </c>
      <c r="AH163">
        <v>1322683.1076</v>
      </c>
    </row>
    <row r="164" spans="1:34" x14ac:dyDescent="0.35">
      <c r="A164" t="s">
        <v>219</v>
      </c>
      <c r="B164" t="s">
        <v>404</v>
      </c>
      <c r="C164">
        <v>1941.1235652</v>
      </c>
      <c r="D164">
        <v>10492.305381</v>
      </c>
      <c r="E164">
        <v>8773.5304754000008</v>
      </c>
      <c r="F164">
        <v>2665.8830455000002</v>
      </c>
      <c r="G164">
        <v>2440.0944524000001</v>
      </c>
      <c r="H164">
        <v>2609.5490328000001</v>
      </c>
      <c r="I164">
        <v>7205.1360500000001</v>
      </c>
      <c r="J164">
        <v>2469.5775333000001</v>
      </c>
      <c r="AA164">
        <v>277627.37</v>
      </c>
      <c r="AB164">
        <v>531783.2524</v>
      </c>
      <c r="AC164">
        <v>445665.95</v>
      </c>
      <c r="AD164">
        <v>538374.56000000006</v>
      </c>
      <c r="AE164">
        <v>376854.86</v>
      </c>
      <c r="AF164">
        <v>332486.94</v>
      </c>
      <c r="AG164">
        <v>194792.9</v>
      </c>
      <c r="AH164">
        <v>215974.35</v>
      </c>
    </row>
    <row r="165" spans="1:34" x14ac:dyDescent="0.35">
      <c r="A165" t="s">
        <v>220</v>
      </c>
      <c r="B165" t="s">
        <v>405</v>
      </c>
      <c r="C165">
        <v>11978.063391</v>
      </c>
      <c r="D165">
        <v>22111.524071</v>
      </c>
      <c r="E165">
        <v>23831.427179999999</v>
      </c>
      <c r="F165">
        <v>17767.021364</v>
      </c>
      <c r="G165">
        <v>38044.429285999999</v>
      </c>
      <c r="H165">
        <v>32599.953753999998</v>
      </c>
      <c r="I165">
        <v>11951.826499999999</v>
      </c>
      <c r="J165">
        <v>10895.391216</v>
      </c>
      <c r="AA165">
        <v>2910846.3325999998</v>
      </c>
      <c r="AB165">
        <v>1379488.0445999999</v>
      </c>
      <c r="AC165">
        <v>1480734.8735</v>
      </c>
      <c r="AD165">
        <v>1360504.2642000001</v>
      </c>
      <c r="AE165">
        <v>3556294.8672000002</v>
      </c>
      <c r="AF165">
        <v>3841215.4637000002</v>
      </c>
      <c r="AG165">
        <v>3828559.0701000001</v>
      </c>
      <c r="AH165">
        <v>3189411.1921999999</v>
      </c>
    </row>
    <row r="166" spans="1:34" x14ac:dyDescent="0.35">
      <c r="A166" t="s">
        <v>217</v>
      </c>
      <c r="B166" t="s">
        <v>402</v>
      </c>
      <c r="C166">
        <v>2853.6819999999998</v>
      </c>
      <c r="D166">
        <v>3549.1855237999998</v>
      </c>
      <c r="E166">
        <v>3504.2395409999999</v>
      </c>
      <c r="F166">
        <v>4213.1634544999997</v>
      </c>
      <c r="G166">
        <v>3260.9517618999998</v>
      </c>
      <c r="H166">
        <v>2739.9621966999998</v>
      </c>
      <c r="I166">
        <v>2358.5508500000001</v>
      </c>
      <c r="J166">
        <v>4012.3508833000001</v>
      </c>
      <c r="AA166">
        <v>1244860.3663999999</v>
      </c>
      <c r="AB166">
        <v>1094208.4750000001</v>
      </c>
      <c r="AC166">
        <v>1048773.8855999999</v>
      </c>
      <c r="AD166">
        <v>1116180.9028</v>
      </c>
      <c r="AE166">
        <v>1092390.1908</v>
      </c>
      <c r="AF166">
        <v>1120682.8844999999</v>
      </c>
      <c r="AG166">
        <v>1075062.1653</v>
      </c>
      <c r="AH166">
        <v>1156386.0560000001</v>
      </c>
    </row>
    <row r="167" spans="1:34" x14ac:dyDescent="0.35">
      <c r="A167" t="s">
        <v>221</v>
      </c>
      <c r="B167" t="s">
        <v>406</v>
      </c>
      <c r="C167">
        <v>21125.256434999999</v>
      </c>
      <c r="D167">
        <v>24424.561142999999</v>
      </c>
      <c r="E167">
        <v>24013.716033000001</v>
      </c>
      <c r="F167">
        <v>14524.093181</v>
      </c>
      <c r="G167">
        <v>15455.326166000001</v>
      </c>
      <c r="H167">
        <v>15116.905769999999</v>
      </c>
      <c r="I167">
        <v>20784.6374</v>
      </c>
      <c r="J167">
        <v>38478.537216999997</v>
      </c>
      <c r="AA167">
        <v>3846437.87</v>
      </c>
      <c r="AB167">
        <v>3459886.21</v>
      </c>
      <c r="AC167">
        <v>3139695.35</v>
      </c>
      <c r="AD167">
        <v>3418410.71</v>
      </c>
      <c r="AE167">
        <v>3452420.62</v>
      </c>
      <c r="AF167">
        <v>3508827.3</v>
      </c>
      <c r="AG167">
        <v>4067917.04</v>
      </c>
      <c r="AH167">
        <v>4989951.6355999997</v>
      </c>
    </row>
    <row r="168" spans="1:34" x14ac:dyDescent="0.35">
      <c r="A168" t="s">
        <v>481</v>
      </c>
      <c r="B168" t="s">
        <v>494</v>
      </c>
    </row>
    <row r="169" spans="1:34" x14ac:dyDescent="0.35">
      <c r="A169" t="s">
        <v>133</v>
      </c>
      <c r="B169" t="s">
        <v>323</v>
      </c>
    </row>
    <row r="170" spans="1:34" x14ac:dyDescent="0.35">
      <c r="A170" t="s">
        <v>77</v>
      </c>
      <c r="B170" t="s">
        <v>31</v>
      </c>
      <c r="C170">
        <v>40032.572783000003</v>
      </c>
      <c r="D170">
        <v>38396.641047999998</v>
      </c>
      <c r="E170">
        <v>43412.992966999998</v>
      </c>
      <c r="F170">
        <v>27916.369682</v>
      </c>
      <c r="G170">
        <v>29441.499429</v>
      </c>
      <c r="H170">
        <v>26107.911410000001</v>
      </c>
      <c r="I170">
        <v>83747.305349999995</v>
      </c>
      <c r="J170">
        <v>39411.301117000003</v>
      </c>
      <c r="AA170">
        <v>1470051</v>
      </c>
      <c r="AB170">
        <v>1293644.8799999999</v>
      </c>
      <c r="AC170">
        <v>1249596.8999999999</v>
      </c>
      <c r="AD170">
        <v>1347604.5</v>
      </c>
      <c r="AE170">
        <v>1239796.1399999999</v>
      </c>
      <c r="AF170">
        <v>1514489.34</v>
      </c>
      <c r="AG170">
        <v>2073232.98</v>
      </c>
      <c r="AH170">
        <v>1475279.26</v>
      </c>
    </row>
    <row r="171" spans="1:34" x14ac:dyDescent="0.35">
      <c r="A171" t="s">
        <v>224</v>
      </c>
      <c r="B171" t="s">
        <v>409</v>
      </c>
      <c r="C171">
        <v>292366.75896000001</v>
      </c>
      <c r="D171">
        <v>337865.93562</v>
      </c>
      <c r="E171">
        <v>367814.11189</v>
      </c>
      <c r="F171">
        <v>311965.67355000001</v>
      </c>
      <c r="G171">
        <v>374839.16064000002</v>
      </c>
      <c r="H171">
        <v>376079.51916000003</v>
      </c>
      <c r="I171">
        <v>509560.37459999998</v>
      </c>
      <c r="J171">
        <v>370739.64406999998</v>
      </c>
      <c r="AA171">
        <v>486277422.30000001</v>
      </c>
      <c r="AB171">
        <v>529056805.13999999</v>
      </c>
      <c r="AC171">
        <v>490407223.67000002</v>
      </c>
      <c r="AD171">
        <v>511529798.82999998</v>
      </c>
      <c r="AE171">
        <v>486311930.00999999</v>
      </c>
      <c r="AF171">
        <v>506183876.25999999</v>
      </c>
      <c r="AG171">
        <v>401864092.14999998</v>
      </c>
      <c r="AH171">
        <v>413220727.38999999</v>
      </c>
    </row>
    <row r="172" spans="1:34" x14ac:dyDescent="0.35">
      <c r="A172" t="s">
        <v>78</v>
      </c>
      <c r="B172" t="s">
        <v>32</v>
      </c>
      <c r="C172">
        <v>1037765.2879</v>
      </c>
      <c r="D172">
        <v>1181481.8411000001</v>
      </c>
      <c r="E172">
        <v>1211635.577</v>
      </c>
      <c r="F172">
        <v>989868.92318000004</v>
      </c>
      <c r="G172">
        <v>1114783.4277999999</v>
      </c>
      <c r="H172">
        <v>1116321.5508999999</v>
      </c>
      <c r="I172">
        <v>1852836.4957999999</v>
      </c>
      <c r="J172">
        <v>1132036.4967</v>
      </c>
      <c r="AA172">
        <v>486277422.30000001</v>
      </c>
      <c r="AB172">
        <v>529056805.13999999</v>
      </c>
      <c r="AC172">
        <v>490407223.67000002</v>
      </c>
      <c r="AD172">
        <v>511529798.82999998</v>
      </c>
      <c r="AE172">
        <v>486311930.00999999</v>
      </c>
      <c r="AF172">
        <v>506183876.25999999</v>
      </c>
      <c r="AG172">
        <v>401864092.14999998</v>
      </c>
      <c r="AH172">
        <v>413220727.38999999</v>
      </c>
    </row>
    <row r="173" spans="1:34" x14ac:dyDescent="0.35">
      <c r="A173" t="s">
        <v>227</v>
      </c>
      <c r="B173" t="s">
        <v>412</v>
      </c>
      <c r="C173">
        <v>25394.909</v>
      </c>
      <c r="D173">
        <v>41001.990738</v>
      </c>
      <c r="E173">
        <v>37935.139000000003</v>
      </c>
      <c r="F173">
        <v>42190.237318</v>
      </c>
      <c r="G173">
        <v>36585.365786000002</v>
      </c>
      <c r="H173">
        <v>33170.641327999998</v>
      </c>
      <c r="I173">
        <v>27401.430950000002</v>
      </c>
      <c r="J173">
        <v>23113.934300000001</v>
      </c>
      <c r="AA173">
        <v>2227562.0257999999</v>
      </c>
      <c r="AB173">
        <v>1938970.9941</v>
      </c>
      <c r="AC173">
        <v>1835258.5921</v>
      </c>
      <c r="AD173">
        <v>2191488.1468000002</v>
      </c>
      <c r="AE173">
        <v>1803693.9480000001</v>
      </c>
      <c r="AF173">
        <v>1836139.4336999999</v>
      </c>
      <c r="AG173">
        <v>2097800.5814999999</v>
      </c>
      <c r="AH173">
        <v>1948924.4112</v>
      </c>
    </row>
    <row r="174" spans="1:34" x14ac:dyDescent="0.35">
      <c r="A174" t="s">
        <v>233</v>
      </c>
      <c r="B174" t="s">
        <v>418</v>
      </c>
      <c r="C174">
        <v>1543.8039564999999</v>
      </c>
      <c r="D174">
        <v>1991.6944762000001</v>
      </c>
      <c r="E174">
        <v>1911.3256392999999</v>
      </c>
      <c r="F174">
        <v>980.56409091</v>
      </c>
      <c r="G174">
        <v>1237.4920952</v>
      </c>
      <c r="H174">
        <v>1311.1643114999999</v>
      </c>
      <c r="I174">
        <v>2600.2298500000002</v>
      </c>
      <c r="J174">
        <v>1847.5884000000001</v>
      </c>
      <c r="AA174">
        <v>858277</v>
      </c>
      <c r="AB174">
        <v>845431.37818</v>
      </c>
      <c r="AC174">
        <v>760745.26810999995</v>
      </c>
      <c r="AD174">
        <v>795745.39</v>
      </c>
      <c r="AE174">
        <v>827624.25</v>
      </c>
      <c r="AF174">
        <v>893834.19</v>
      </c>
      <c r="AG174">
        <v>991922.99</v>
      </c>
      <c r="AH174">
        <v>1069167.92</v>
      </c>
    </row>
    <row r="175" spans="1:34" x14ac:dyDescent="0.35">
      <c r="A175" t="s">
        <v>223</v>
      </c>
      <c r="B175" t="s">
        <v>408</v>
      </c>
      <c r="C175">
        <v>1101.7059999999999</v>
      </c>
      <c r="D175">
        <v>2598.8015</v>
      </c>
      <c r="E175">
        <v>2595.0110328000001</v>
      </c>
      <c r="F175">
        <v>4476.9255455000002</v>
      </c>
      <c r="G175">
        <v>4110.5111905000003</v>
      </c>
      <c r="H175">
        <v>4727.8694261999999</v>
      </c>
      <c r="I175">
        <v>3370.4425500000002</v>
      </c>
      <c r="J175">
        <v>20348.868299999998</v>
      </c>
      <c r="AA175">
        <v>1649845.4161</v>
      </c>
      <c r="AB175">
        <v>1960269.2923000001</v>
      </c>
      <c r="AC175">
        <v>1816554.5348</v>
      </c>
      <c r="AD175">
        <v>1850868.6654000001</v>
      </c>
      <c r="AE175">
        <v>1641336.3637000001</v>
      </c>
      <c r="AF175">
        <v>1948396.1207000001</v>
      </c>
      <c r="AG175">
        <v>2041176.8883</v>
      </c>
      <c r="AH175">
        <v>2152513.8095</v>
      </c>
    </row>
    <row r="176" spans="1:34" x14ac:dyDescent="0.35">
      <c r="A176" t="s">
        <v>228</v>
      </c>
      <c r="B176" t="s">
        <v>413</v>
      </c>
      <c r="C176">
        <v>9274.1538261000005</v>
      </c>
      <c r="D176">
        <v>12802.840475999999</v>
      </c>
      <c r="E176">
        <v>12560.505491</v>
      </c>
      <c r="F176">
        <v>13481.159089999999</v>
      </c>
      <c r="G176">
        <v>12326.217000000001</v>
      </c>
      <c r="H176">
        <v>12269.181278</v>
      </c>
      <c r="I176">
        <v>11593.7245</v>
      </c>
      <c r="J176">
        <v>19414.585899999998</v>
      </c>
      <c r="AA176">
        <v>2803773.1</v>
      </c>
      <c r="AB176">
        <v>2456279.9750000001</v>
      </c>
      <c r="AC176">
        <v>1823037.2649999999</v>
      </c>
      <c r="AD176">
        <v>1972140.64</v>
      </c>
      <c r="AE176">
        <v>1974128.6850000001</v>
      </c>
      <c r="AF176">
        <v>2343403.44</v>
      </c>
      <c r="AG176">
        <v>2327461.92</v>
      </c>
      <c r="AH176">
        <v>2921283.54</v>
      </c>
    </row>
    <row r="177" spans="1:34" x14ac:dyDescent="0.35">
      <c r="A177" t="s">
        <v>150</v>
      </c>
      <c r="B177" t="s">
        <v>340</v>
      </c>
      <c r="C177">
        <v>2960.5031303999999</v>
      </c>
      <c r="D177">
        <v>3305.5898333</v>
      </c>
      <c r="E177">
        <v>3420.1517213000002</v>
      </c>
      <c r="F177">
        <v>2607.9139544999998</v>
      </c>
      <c r="G177">
        <v>2308.0290476</v>
      </c>
      <c r="H177">
        <v>2152.1812951000002</v>
      </c>
      <c r="I177">
        <v>2413.7797</v>
      </c>
      <c r="J177">
        <v>4511.4106333</v>
      </c>
      <c r="AA177">
        <v>1512995.4966</v>
      </c>
      <c r="AB177">
        <v>1412925.7056</v>
      </c>
      <c r="AC177">
        <v>1309383.7768000001</v>
      </c>
      <c r="AD177">
        <v>1266233.6296000001</v>
      </c>
      <c r="AE177">
        <v>1220107.6102</v>
      </c>
      <c r="AF177">
        <v>1288876.3565</v>
      </c>
      <c r="AG177">
        <v>1367847.9715</v>
      </c>
      <c r="AH177">
        <v>1296326.5089</v>
      </c>
    </row>
    <row r="178" spans="1:34" x14ac:dyDescent="0.35">
      <c r="A178" t="s">
        <v>201</v>
      </c>
      <c r="B178" t="s">
        <v>388</v>
      </c>
      <c r="C178">
        <v>3539.3409565000002</v>
      </c>
      <c r="D178">
        <v>3902.6596666999999</v>
      </c>
      <c r="E178">
        <v>3545.1486393</v>
      </c>
      <c r="F178">
        <v>1403.9092273000001</v>
      </c>
      <c r="G178">
        <v>2032.6747381</v>
      </c>
      <c r="H178">
        <v>2127.6782131</v>
      </c>
      <c r="I178">
        <v>2822.1918999999998</v>
      </c>
      <c r="J178">
        <v>6024.3682500000004</v>
      </c>
      <c r="AA178">
        <v>8776153.2240999993</v>
      </c>
      <c r="AB178">
        <v>8804220.6166999992</v>
      </c>
      <c r="AC178">
        <v>7592934.2572999997</v>
      </c>
      <c r="AD178">
        <v>8496742.5206000004</v>
      </c>
      <c r="AE178">
        <v>7620644.9874999998</v>
      </c>
      <c r="AF178">
        <v>6417801.4164000005</v>
      </c>
      <c r="AG178">
        <v>7286592.2111</v>
      </c>
      <c r="AH178">
        <v>7592960.8616000004</v>
      </c>
    </row>
    <row r="179" spans="1:34" x14ac:dyDescent="0.35">
      <c r="A179" t="s">
        <v>202</v>
      </c>
      <c r="B179" t="s">
        <v>389</v>
      </c>
      <c r="C179">
        <v>75724.537435000006</v>
      </c>
      <c r="D179">
        <v>93653.388976000002</v>
      </c>
      <c r="E179">
        <v>93769.207229000007</v>
      </c>
      <c r="F179">
        <v>98600.132817999998</v>
      </c>
      <c r="G179">
        <v>92236.427762000007</v>
      </c>
      <c r="H179">
        <v>99057.911573999998</v>
      </c>
      <c r="I179">
        <v>99984.838300000003</v>
      </c>
      <c r="J179">
        <v>118843.37652999999</v>
      </c>
      <c r="AA179">
        <v>8776153.2240999993</v>
      </c>
      <c r="AB179">
        <v>8804220.6166999992</v>
      </c>
      <c r="AC179">
        <v>7592934.2572999997</v>
      </c>
      <c r="AD179">
        <v>8496742.5206000004</v>
      </c>
      <c r="AE179">
        <v>7620644.9874999998</v>
      </c>
      <c r="AF179">
        <v>6417801.4164000005</v>
      </c>
      <c r="AG179">
        <v>7286592.2111</v>
      </c>
      <c r="AH179">
        <v>7592960.8616000004</v>
      </c>
    </row>
    <row r="180" spans="1:34" x14ac:dyDescent="0.35">
      <c r="A180" t="s">
        <v>279</v>
      </c>
      <c r="B180" t="s">
        <v>463</v>
      </c>
      <c r="C180">
        <v>42785.055869999997</v>
      </c>
      <c r="D180">
        <v>37722.602524000002</v>
      </c>
      <c r="E180">
        <v>45608.021328000003</v>
      </c>
      <c r="F180">
        <v>10804.265545</v>
      </c>
      <c r="G180">
        <v>9392.5831429000009</v>
      </c>
      <c r="H180">
        <v>11352.352097999999</v>
      </c>
      <c r="I180">
        <v>16076.4943</v>
      </c>
      <c r="J180">
        <v>16160.625249999999</v>
      </c>
      <c r="AA180">
        <v>6997716.0609999998</v>
      </c>
      <c r="AB180">
        <v>6954221.483</v>
      </c>
      <c r="AC180">
        <v>7192349.5489999996</v>
      </c>
      <c r="AD180">
        <v>7492214.5209999997</v>
      </c>
      <c r="AE180">
        <v>7302594.0240000002</v>
      </c>
      <c r="AF180">
        <v>7509853.6370000001</v>
      </c>
      <c r="AG180">
        <v>7553951.4270000001</v>
      </c>
      <c r="AH180">
        <v>7659786.1229999997</v>
      </c>
    </row>
    <row r="181" spans="1:34" x14ac:dyDescent="0.35">
      <c r="A181" t="s">
        <v>231</v>
      </c>
      <c r="B181" t="s">
        <v>416</v>
      </c>
      <c r="C181">
        <v>8900.3323478000002</v>
      </c>
      <c r="D181">
        <v>8715.3542619</v>
      </c>
      <c r="E181">
        <v>8156.4948525</v>
      </c>
      <c r="F181">
        <v>4650.5264999999999</v>
      </c>
      <c r="G181">
        <v>4226.4824523999996</v>
      </c>
      <c r="H181">
        <v>4357.1861474999996</v>
      </c>
      <c r="I181">
        <v>7597.8502500000004</v>
      </c>
      <c r="J181">
        <v>4277.0121667000003</v>
      </c>
      <c r="AA181">
        <v>894259.1</v>
      </c>
      <c r="AB181">
        <v>728242.2</v>
      </c>
      <c r="AC181">
        <v>722822.38</v>
      </c>
      <c r="AD181">
        <v>809337.8</v>
      </c>
      <c r="AE181">
        <v>697705</v>
      </c>
      <c r="AF181">
        <v>700144.42</v>
      </c>
      <c r="AG181">
        <v>857746.65</v>
      </c>
      <c r="AH181">
        <v>658303.12</v>
      </c>
    </row>
    <row r="182" spans="1:34" x14ac:dyDescent="0.35">
      <c r="A182" t="s">
        <v>79</v>
      </c>
      <c r="B182" t="s">
        <v>33</v>
      </c>
      <c r="C182">
        <v>397454.88260999997</v>
      </c>
      <c r="D182">
        <v>370885.91024</v>
      </c>
      <c r="E182">
        <v>366500.51212999999</v>
      </c>
      <c r="F182">
        <v>388843.72681999998</v>
      </c>
      <c r="G182">
        <v>375311.39562000002</v>
      </c>
      <c r="H182">
        <v>358049.90025000001</v>
      </c>
      <c r="I182">
        <v>582267.50789999997</v>
      </c>
      <c r="J182">
        <v>307839.5269</v>
      </c>
      <c r="AA182">
        <v>34190675.053999998</v>
      </c>
      <c r="AB182">
        <v>33489841.305</v>
      </c>
      <c r="AC182">
        <v>32802605.888999999</v>
      </c>
      <c r="AD182">
        <v>34050585.181000002</v>
      </c>
      <c r="AE182">
        <v>31348548.875</v>
      </c>
      <c r="AF182">
        <v>32442899.594000001</v>
      </c>
      <c r="AG182">
        <v>27478646.866999999</v>
      </c>
      <c r="AH182">
        <v>31750023.596999999</v>
      </c>
    </row>
    <row r="183" spans="1:34" x14ac:dyDescent="0.35">
      <c r="A183" t="s">
        <v>232</v>
      </c>
      <c r="B183" t="s">
        <v>417</v>
      </c>
      <c r="C183">
        <v>4359.9698261000003</v>
      </c>
      <c r="D183">
        <v>5051.0840238000001</v>
      </c>
      <c r="E183">
        <v>5082.5417377000003</v>
      </c>
      <c r="F183">
        <v>5726.3673636000003</v>
      </c>
      <c r="G183">
        <v>5074.4925952000003</v>
      </c>
      <c r="H183">
        <v>5390.2862131000002</v>
      </c>
      <c r="I183">
        <v>4575.4333500000002</v>
      </c>
      <c r="J183">
        <v>7137.8560500000003</v>
      </c>
      <c r="AA183">
        <v>646615.27688000002</v>
      </c>
      <c r="AB183">
        <v>656893.84342000005</v>
      </c>
      <c r="AC183">
        <v>626525.35137000005</v>
      </c>
      <c r="AD183">
        <v>747532.11199999996</v>
      </c>
      <c r="AE183">
        <v>764818.79209</v>
      </c>
      <c r="AF183">
        <v>783039.88731999998</v>
      </c>
      <c r="AG183">
        <v>791916.83114999998</v>
      </c>
      <c r="AH183">
        <v>747532.11199999996</v>
      </c>
    </row>
    <row r="184" spans="1:34" x14ac:dyDescent="0.35">
      <c r="A184" t="s">
        <v>229</v>
      </c>
      <c r="B184" t="s">
        <v>414</v>
      </c>
      <c r="C184">
        <v>82856.735174000001</v>
      </c>
      <c r="D184">
        <v>77875.712094999995</v>
      </c>
      <c r="E184">
        <v>83399.734049000006</v>
      </c>
      <c r="F184">
        <v>81596.326272999999</v>
      </c>
      <c r="G184">
        <v>85851.292667000002</v>
      </c>
      <c r="H184">
        <v>84895.687852000003</v>
      </c>
      <c r="I184">
        <v>63724.948700000001</v>
      </c>
      <c r="J184">
        <v>89278.870299999995</v>
      </c>
      <c r="AA184">
        <v>24482381</v>
      </c>
      <c r="AB184">
        <v>24283441.600000001</v>
      </c>
      <c r="AC184">
        <v>23139435.495999999</v>
      </c>
      <c r="AD184">
        <v>25548268.52</v>
      </c>
      <c r="AE184">
        <v>24350593.359999999</v>
      </c>
      <c r="AF184">
        <v>25679360</v>
      </c>
      <c r="AG184">
        <v>28240876.16</v>
      </c>
      <c r="AH184">
        <v>33428106.879999999</v>
      </c>
    </row>
    <row r="185" spans="1:34" x14ac:dyDescent="0.35">
      <c r="A185" t="s">
        <v>230</v>
      </c>
      <c r="B185" t="s">
        <v>415</v>
      </c>
      <c r="C185">
        <v>1085.7449999999999</v>
      </c>
      <c r="D185">
        <v>1733.710619</v>
      </c>
      <c r="E185">
        <v>1699.8983607</v>
      </c>
      <c r="F185">
        <v>1446.4733636000001</v>
      </c>
      <c r="G185">
        <v>1489.2167618999999</v>
      </c>
      <c r="H185">
        <v>1420.0387377</v>
      </c>
      <c r="I185">
        <v>1601.8623</v>
      </c>
      <c r="J185">
        <v>594.87413332999995</v>
      </c>
      <c r="AA185">
        <v>589325.66</v>
      </c>
      <c r="AB185">
        <v>587915.79</v>
      </c>
      <c r="AC185">
        <v>516012.42</v>
      </c>
      <c r="AD185">
        <v>521651.9</v>
      </c>
      <c r="AE185">
        <v>501913.72</v>
      </c>
      <c r="AF185">
        <v>503323.59</v>
      </c>
      <c r="AG185">
        <v>596375.01</v>
      </c>
      <c r="AH185">
        <v>726083.05</v>
      </c>
    </row>
    <row r="186" spans="1:34" x14ac:dyDescent="0.35">
      <c r="A186" t="s">
        <v>226</v>
      </c>
      <c r="B186" t="s">
        <v>411</v>
      </c>
      <c r="C186">
        <v>97.270260870000001</v>
      </c>
      <c r="D186">
        <v>70.828547619000005</v>
      </c>
      <c r="E186">
        <v>62.076508197000003</v>
      </c>
      <c r="F186">
        <v>28.831227273</v>
      </c>
      <c r="G186">
        <v>32.679642856999997</v>
      </c>
      <c r="H186">
        <v>35.584229508</v>
      </c>
      <c r="I186">
        <v>82.796899999999994</v>
      </c>
      <c r="J186">
        <v>28.539549999999998</v>
      </c>
      <c r="AA186">
        <v>353786.94764000003</v>
      </c>
      <c r="AB186">
        <v>338571.29823999997</v>
      </c>
      <c r="AC186">
        <v>328321.23800000001</v>
      </c>
      <c r="AD186">
        <v>376048.71555999998</v>
      </c>
      <c r="AE186">
        <v>384694.85571999999</v>
      </c>
      <c r="AF186">
        <v>408397.80407999997</v>
      </c>
      <c r="AG186">
        <v>325119.1384</v>
      </c>
      <c r="AH186">
        <v>293410.08424</v>
      </c>
    </row>
    <row r="187" spans="1:34" x14ac:dyDescent="0.35">
      <c r="A187" t="s">
        <v>234</v>
      </c>
      <c r="B187" t="s">
        <v>419</v>
      </c>
      <c r="C187">
        <v>11966.001738999999</v>
      </c>
      <c r="D187">
        <v>13387.235403999999</v>
      </c>
      <c r="E187">
        <v>12637.183016000001</v>
      </c>
      <c r="F187">
        <v>5528.8817273000004</v>
      </c>
      <c r="G187">
        <v>5473.3961429000001</v>
      </c>
      <c r="H187">
        <v>5118.9924425999998</v>
      </c>
      <c r="I187">
        <v>5168.6480000000001</v>
      </c>
      <c r="J187">
        <v>6693.9204</v>
      </c>
      <c r="AA187">
        <v>638110.79252000002</v>
      </c>
      <c r="AB187">
        <v>604378.06339999998</v>
      </c>
      <c r="AC187">
        <v>427611.83552000002</v>
      </c>
      <c r="AD187">
        <v>548580.97320000001</v>
      </c>
      <c r="AE187">
        <v>500755.96528</v>
      </c>
      <c r="AF187">
        <v>517635.37984000001</v>
      </c>
      <c r="AG187">
        <v>579526.56655999995</v>
      </c>
      <c r="AH187">
        <v>599219.21687999996</v>
      </c>
    </row>
    <row r="188" spans="1:34" x14ac:dyDescent="0.35">
      <c r="A188" t="s">
        <v>236</v>
      </c>
      <c r="B188" t="s">
        <v>421</v>
      </c>
      <c r="C188">
        <v>157091.02734999999</v>
      </c>
      <c r="D188">
        <v>171224.65676000001</v>
      </c>
      <c r="E188">
        <v>187551.77927999999</v>
      </c>
      <c r="F188">
        <v>187054.40182</v>
      </c>
      <c r="G188">
        <v>196575.05600000001</v>
      </c>
      <c r="H188">
        <v>212672.36008000001</v>
      </c>
      <c r="I188">
        <v>213729.76949999999</v>
      </c>
      <c r="J188">
        <v>211793.52963</v>
      </c>
      <c r="AA188">
        <v>41746174.361000001</v>
      </c>
      <c r="AB188">
        <v>41231636.468000002</v>
      </c>
      <c r="AC188">
        <v>37663881.816</v>
      </c>
      <c r="AD188">
        <v>37749481.546999998</v>
      </c>
      <c r="AE188">
        <v>29754466.635000002</v>
      </c>
      <c r="AF188">
        <v>32632660.344000001</v>
      </c>
      <c r="AG188">
        <v>33985930.773000002</v>
      </c>
      <c r="AH188">
        <v>25438058.063999999</v>
      </c>
    </row>
    <row r="189" spans="1:34" x14ac:dyDescent="0.35">
      <c r="A189" t="s">
        <v>242</v>
      </c>
      <c r="B189" t="s">
        <v>427</v>
      </c>
      <c r="C189">
        <v>283219.17142999999</v>
      </c>
      <c r="D189">
        <v>298685.99348</v>
      </c>
      <c r="E189">
        <v>277981.49028999999</v>
      </c>
      <c r="F189">
        <v>223357.72245</v>
      </c>
      <c r="G189">
        <v>241987.05617</v>
      </c>
      <c r="H189">
        <v>224253.31912999999</v>
      </c>
      <c r="I189">
        <v>247786.47594999999</v>
      </c>
      <c r="J189">
        <v>265891.12067999999</v>
      </c>
      <c r="AA189">
        <v>36828280.185000002</v>
      </c>
      <c r="AB189">
        <v>35995479.880000003</v>
      </c>
      <c r="AC189">
        <v>33016421.278000001</v>
      </c>
      <c r="AD189">
        <v>33904755.483000003</v>
      </c>
      <c r="AE189">
        <v>31332287.682</v>
      </c>
      <c r="AF189">
        <v>30019148.894000001</v>
      </c>
      <c r="AG189">
        <v>35904530.736000001</v>
      </c>
      <c r="AH189">
        <v>34831096.311999999</v>
      </c>
    </row>
    <row r="190" spans="1:34" x14ac:dyDescent="0.35">
      <c r="A190" t="s">
        <v>80</v>
      </c>
      <c r="B190" t="s">
        <v>34</v>
      </c>
      <c r="C190">
        <v>34020.020696</v>
      </c>
      <c r="D190">
        <v>40614.610309999996</v>
      </c>
      <c r="E190">
        <v>38063.676803000002</v>
      </c>
      <c r="F190">
        <v>34440.257772999998</v>
      </c>
      <c r="G190">
        <v>38453.222857000001</v>
      </c>
      <c r="H190">
        <v>33537.634738000001</v>
      </c>
      <c r="I190">
        <v>23484.211749999999</v>
      </c>
      <c r="J190">
        <v>19070.133600000001</v>
      </c>
      <c r="AA190">
        <v>28935657.765999999</v>
      </c>
      <c r="AB190">
        <v>27282191.607999999</v>
      </c>
      <c r="AC190">
        <v>22321970.949999999</v>
      </c>
      <c r="AD190">
        <v>20255121.787999999</v>
      </c>
      <c r="AE190">
        <v>17051505.587000001</v>
      </c>
      <c r="AF190">
        <v>19118354.749000002</v>
      </c>
      <c r="AG190">
        <v>18704984.916000001</v>
      </c>
      <c r="AH190">
        <v>20048436.870999999</v>
      </c>
    </row>
    <row r="191" spans="1:34" x14ac:dyDescent="0.35">
      <c r="A191" t="s">
        <v>185</v>
      </c>
      <c r="B191" t="s">
        <v>372</v>
      </c>
      <c r="C191">
        <v>7688.4859999999999</v>
      </c>
      <c r="D191">
        <v>6779.2727381000004</v>
      </c>
      <c r="E191">
        <v>5968.1188689000001</v>
      </c>
      <c r="F191">
        <v>4835.9531817999996</v>
      </c>
      <c r="G191">
        <v>5413.8322857000003</v>
      </c>
      <c r="H191">
        <v>4977.3396393000003</v>
      </c>
      <c r="I191">
        <v>4350.1504500000001</v>
      </c>
      <c r="J191">
        <v>6213.8568999999998</v>
      </c>
      <c r="AA191">
        <v>1786012.81</v>
      </c>
      <c r="AB191">
        <v>1672764.97</v>
      </c>
      <c r="AC191">
        <v>1592667.78</v>
      </c>
      <c r="AD191">
        <v>1704761.7</v>
      </c>
      <c r="AE191">
        <v>1697755.83</v>
      </c>
      <c r="AF191">
        <v>1670513.74</v>
      </c>
      <c r="AG191">
        <v>1860502.82</v>
      </c>
      <c r="AH191">
        <v>1730754.18</v>
      </c>
    </row>
    <row r="192" spans="1:34" x14ac:dyDescent="0.35">
      <c r="A192" t="s">
        <v>237</v>
      </c>
      <c r="B192" t="s">
        <v>422</v>
      </c>
      <c r="C192">
        <v>362.11260870000001</v>
      </c>
      <c r="D192">
        <v>348.32635714000003</v>
      </c>
      <c r="E192">
        <v>289.97157377000002</v>
      </c>
      <c r="F192">
        <v>290.81772726999998</v>
      </c>
      <c r="G192">
        <v>220.87395237999999</v>
      </c>
      <c r="H192">
        <v>194.46873769999999</v>
      </c>
      <c r="I192">
        <v>174.93164999999999</v>
      </c>
      <c r="J192">
        <v>143.55231667000001</v>
      </c>
      <c r="AA192">
        <v>3361275</v>
      </c>
      <c r="AB192">
        <v>3242554</v>
      </c>
      <c r="AC192">
        <v>3054363.72</v>
      </c>
      <c r="AD192">
        <v>2882815.92</v>
      </c>
      <c r="AE192">
        <v>2866731.46</v>
      </c>
      <c r="AF192">
        <v>2719959.4</v>
      </c>
      <c r="AG192">
        <v>2855079.86</v>
      </c>
      <c r="AH192">
        <v>2855284.78</v>
      </c>
    </row>
    <row r="193" spans="1:34" x14ac:dyDescent="0.35">
      <c r="A193" t="s">
        <v>238</v>
      </c>
      <c r="B193" t="s">
        <v>423</v>
      </c>
      <c r="C193">
        <v>26399.374087</v>
      </c>
      <c r="D193">
        <v>22963.014547999999</v>
      </c>
      <c r="E193">
        <v>22178.797852</v>
      </c>
      <c r="F193">
        <v>25503.770955</v>
      </c>
      <c r="G193">
        <v>25608.954643000001</v>
      </c>
      <c r="H193">
        <v>25058.324689000001</v>
      </c>
      <c r="I193">
        <v>39334.528550000003</v>
      </c>
      <c r="J193">
        <v>22974.324000000001</v>
      </c>
      <c r="AA193">
        <v>3361275</v>
      </c>
      <c r="AB193">
        <v>3242554</v>
      </c>
      <c r="AC193">
        <v>3054363.72</v>
      </c>
      <c r="AD193">
        <v>2882815.92</v>
      </c>
      <c r="AE193">
        <v>2866731.46</v>
      </c>
      <c r="AF193">
        <v>2719959.4</v>
      </c>
      <c r="AG193">
        <v>2855079.86</v>
      </c>
      <c r="AH193">
        <v>2855284.78</v>
      </c>
    </row>
    <row r="194" spans="1:34" x14ac:dyDescent="0.35">
      <c r="A194" t="s">
        <v>239</v>
      </c>
      <c r="B194" t="s">
        <v>424</v>
      </c>
      <c r="C194">
        <v>143701.53086999999</v>
      </c>
      <c r="D194">
        <v>158869.10318999999</v>
      </c>
      <c r="E194">
        <v>166825.22315999999</v>
      </c>
      <c r="F194">
        <v>134625.02536</v>
      </c>
      <c r="G194">
        <v>155318.99600000001</v>
      </c>
      <c r="H194">
        <v>160524.92533</v>
      </c>
      <c r="I194">
        <v>193444.22615</v>
      </c>
      <c r="J194">
        <v>253698.71625</v>
      </c>
      <c r="AA194">
        <v>65827589.968999997</v>
      </c>
      <c r="AB194">
        <v>60648375.634999998</v>
      </c>
      <c r="AC194">
        <v>56435440.130000003</v>
      </c>
      <c r="AD194">
        <v>62740579.783</v>
      </c>
      <c r="AE194">
        <v>60365051.814999998</v>
      </c>
      <c r="AF194">
        <v>62284449.105999999</v>
      </c>
      <c r="AG194">
        <v>70721562.423999995</v>
      </c>
      <c r="AH194">
        <v>83443492.453999996</v>
      </c>
    </row>
    <row r="195" spans="1:34" x14ac:dyDescent="0.35">
      <c r="A195" t="s">
        <v>225</v>
      </c>
      <c r="B195" t="s">
        <v>410</v>
      </c>
      <c r="C195">
        <v>33532.067564999998</v>
      </c>
      <c r="D195">
        <v>38687.521667000001</v>
      </c>
      <c r="E195">
        <v>39745.485115000003</v>
      </c>
      <c r="F195">
        <v>29126.606273000001</v>
      </c>
      <c r="G195">
        <v>33847.116024000003</v>
      </c>
      <c r="H195">
        <v>35714.334884999997</v>
      </c>
      <c r="I195">
        <v>60613.9179</v>
      </c>
      <c r="J195">
        <v>39465.544116999998</v>
      </c>
      <c r="AA195">
        <v>4976824.2461999999</v>
      </c>
      <c r="AB195">
        <v>4847860.6025999999</v>
      </c>
      <c r="AC195">
        <v>4751137.8699000003</v>
      </c>
      <c r="AD195">
        <v>4686656.0481000002</v>
      </c>
      <c r="AE195">
        <v>4657346.1290999996</v>
      </c>
      <c r="AF195">
        <v>4830237.4430999998</v>
      </c>
      <c r="AG195">
        <v>3761082.3996000001</v>
      </c>
      <c r="AH195">
        <v>4238540.6793</v>
      </c>
    </row>
    <row r="196" spans="1:34" x14ac:dyDescent="0.35">
      <c r="A196" t="s">
        <v>195</v>
      </c>
      <c r="B196" t="s">
        <v>382</v>
      </c>
      <c r="C196">
        <v>266198.93465000001</v>
      </c>
      <c r="D196">
        <v>405151.44983</v>
      </c>
      <c r="E196">
        <v>424957.07601999998</v>
      </c>
      <c r="F196">
        <v>286569.84759000002</v>
      </c>
      <c r="G196">
        <v>322265.99471</v>
      </c>
      <c r="H196">
        <v>316873.93489999999</v>
      </c>
      <c r="I196">
        <v>428384.07384999999</v>
      </c>
      <c r="J196">
        <v>358718.69348000002</v>
      </c>
      <c r="AA196">
        <v>44569783.516999997</v>
      </c>
      <c r="AB196">
        <v>39860363.269000001</v>
      </c>
      <c r="AC196">
        <v>33930788.254000001</v>
      </c>
      <c r="AD196">
        <v>33361762.612</v>
      </c>
      <c r="AE196">
        <v>29610408.383000001</v>
      </c>
      <c r="AF196">
        <v>35395502.405000001</v>
      </c>
      <c r="AG196">
        <v>45269151.035999998</v>
      </c>
      <c r="AH196">
        <v>45269151.035999998</v>
      </c>
    </row>
    <row r="197" spans="1:34" x14ac:dyDescent="0.35">
      <c r="A197" t="s">
        <v>241</v>
      </c>
      <c r="B197" t="s">
        <v>426</v>
      </c>
      <c r="C197">
        <v>1705.3849565</v>
      </c>
      <c r="D197">
        <v>1867.6155000000001</v>
      </c>
      <c r="E197">
        <v>1881.7744425999999</v>
      </c>
      <c r="F197">
        <v>1544.5711818</v>
      </c>
      <c r="G197">
        <v>1295.9172143000001</v>
      </c>
      <c r="H197">
        <v>1270.5006885</v>
      </c>
      <c r="I197">
        <v>910.85919999999999</v>
      </c>
      <c r="J197">
        <v>1110.4473667</v>
      </c>
      <c r="AA197">
        <v>941024.54469999997</v>
      </c>
      <c r="AB197">
        <v>861829.40974999999</v>
      </c>
      <c r="AC197">
        <v>786361.10467999999</v>
      </c>
      <c r="AD197">
        <v>887917.21891000005</v>
      </c>
      <c r="AE197">
        <v>864624.53215999994</v>
      </c>
      <c r="AF197">
        <v>842263.55287999997</v>
      </c>
      <c r="AG197">
        <v>853444.04252000002</v>
      </c>
      <c r="AH197">
        <v>864624.53215999994</v>
      </c>
    </row>
    <row r="198" spans="1:34" x14ac:dyDescent="0.35">
      <c r="A198" t="s">
        <v>240</v>
      </c>
      <c r="B198" t="s">
        <v>425</v>
      </c>
      <c r="C198">
        <v>81.564260869999998</v>
      </c>
      <c r="D198">
        <v>102.4425</v>
      </c>
      <c r="E198">
        <v>86.303491803</v>
      </c>
      <c r="F198">
        <v>33.173636363999996</v>
      </c>
      <c r="G198">
        <v>41.379333332999998</v>
      </c>
      <c r="H198">
        <v>52.777131148000002</v>
      </c>
      <c r="I198">
        <v>87.927350000000004</v>
      </c>
      <c r="J198">
        <v>54.764016667</v>
      </c>
      <c r="AA198">
        <v>363234.69695999997</v>
      </c>
      <c r="AB198">
        <v>343135.95328000002</v>
      </c>
      <c r="AC198">
        <v>333906.31871999998</v>
      </c>
      <c r="AD198">
        <v>358255.55200000003</v>
      </c>
      <c r="AE198">
        <v>412904.70400000003</v>
      </c>
      <c r="AF198">
        <v>428570.79424000002</v>
      </c>
      <c r="AG198">
        <v>423834.5344</v>
      </c>
      <c r="AH198">
        <v>413208.31040000002</v>
      </c>
    </row>
    <row r="199" spans="1:34" x14ac:dyDescent="0.35">
      <c r="A199" t="s">
        <v>244</v>
      </c>
      <c r="B199" t="s">
        <v>429</v>
      </c>
      <c r="C199">
        <v>70778.295043000006</v>
      </c>
      <c r="D199">
        <v>77720.097309999997</v>
      </c>
      <c r="E199">
        <v>74609.139163999993</v>
      </c>
      <c r="F199">
        <v>65834.261954999994</v>
      </c>
      <c r="G199">
        <v>70891.963881000003</v>
      </c>
      <c r="H199">
        <v>69404.512524999998</v>
      </c>
      <c r="I199">
        <v>77945.686549999999</v>
      </c>
      <c r="J199">
        <v>103657.71021</v>
      </c>
      <c r="AA199">
        <v>101857744.83</v>
      </c>
      <c r="AB199">
        <v>93537239.010000005</v>
      </c>
      <c r="AC199">
        <v>88905868.939999998</v>
      </c>
      <c r="AD199">
        <v>95323925.340000004</v>
      </c>
      <c r="AE199">
        <v>94340287.930000007</v>
      </c>
      <c r="AF199">
        <v>99645869.5</v>
      </c>
      <c r="AG199">
        <v>110250340.55</v>
      </c>
      <c r="AH199">
        <v>109990942.95</v>
      </c>
    </row>
    <row r="200" spans="1:34" x14ac:dyDescent="0.35">
      <c r="A200" t="s">
        <v>82</v>
      </c>
      <c r="B200" t="s">
        <v>36</v>
      </c>
      <c r="C200">
        <v>28619.761478</v>
      </c>
      <c r="D200">
        <v>30776.959905</v>
      </c>
      <c r="E200">
        <v>36936.568425999998</v>
      </c>
      <c r="F200">
        <v>25405.650682</v>
      </c>
      <c r="G200">
        <v>24096.556737999999</v>
      </c>
      <c r="H200">
        <v>24017.013361000001</v>
      </c>
      <c r="I200">
        <v>27142.420099999999</v>
      </c>
      <c r="J200">
        <v>50572.008999999998</v>
      </c>
      <c r="AA200">
        <v>8175621.8241999997</v>
      </c>
      <c r="AB200">
        <v>9067233.0985000003</v>
      </c>
      <c r="AC200">
        <v>8213827.2982999999</v>
      </c>
      <c r="AD200">
        <v>7838119.2884</v>
      </c>
      <c r="AE200">
        <v>8271331.5698999995</v>
      </c>
      <c r="AF200">
        <v>8251182.1544000003</v>
      </c>
      <c r="AG200">
        <v>9223391.0237000007</v>
      </c>
      <c r="AH200">
        <v>9858097.3390999995</v>
      </c>
    </row>
    <row r="201" spans="1:34" x14ac:dyDescent="0.35">
      <c r="A201" t="s">
        <v>243</v>
      </c>
      <c r="B201" t="s">
        <v>428</v>
      </c>
      <c r="C201">
        <v>6336.3396087000001</v>
      </c>
      <c r="D201">
        <v>8168.5659524000002</v>
      </c>
      <c r="E201">
        <v>8948.5502458999999</v>
      </c>
      <c r="F201">
        <v>10882.507772000001</v>
      </c>
      <c r="G201">
        <v>9632.3384048000007</v>
      </c>
      <c r="H201">
        <v>9306.6441147999994</v>
      </c>
      <c r="I201">
        <v>7490.8183499999996</v>
      </c>
      <c r="J201">
        <v>8420.7193167000005</v>
      </c>
      <c r="AA201">
        <v>8175621.8241999997</v>
      </c>
      <c r="AB201">
        <v>9067233.0985000003</v>
      </c>
      <c r="AC201">
        <v>8213827.2982999999</v>
      </c>
      <c r="AD201">
        <v>7838119.2884</v>
      </c>
      <c r="AE201">
        <v>8271331.5698999995</v>
      </c>
      <c r="AF201">
        <v>8251182.1544000003</v>
      </c>
      <c r="AG201">
        <v>9223391.0237000007</v>
      </c>
      <c r="AH201">
        <v>9858097.3390999995</v>
      </c>
    </row>
    <row r="202" spans="1:34" x14ac:dyDescent="0.35">
      <c r="A202" t="s">
        <v>178</v>
      </c>
      <c r="B202" t="s">
        <v>365</v>
      </c>
      <c r="C202">
        <v>30711.96313</v>
      </c>
      <c r="D202">
        <v>29687.882881000001</v>
      </c>
      <c r="E202">
        <v>31280.951803</v>
      </c>
      <c r="F202">
        <v>24066.176590999999</v>
      </c>
      <c r="G202">
        <v>23526.768285999999</v>
      </c>
      <c r="H202">
        <v>21690.340671999998</v>
      </c>
      <c r="I202">
        <v>14485.6543</v>
      </c>
      <c r="J202">
        <v>30410.863267000001</v>
      </c>
      <c r="AA202">
        <v>3532620.9064000002</v>
      </c>
      <c r="AB202">
        <v>3003799.7837999999</v>
      </c>
      <c r="AC202">
        <v>2577184.2656</v>
      </c>
      <c r="AD202">
        <v>2884907.76</v>
      </c>
      <c r="AE202">
        <v>2365624.3632</v>
      </c>
      <c r="AF202">
        <v>2722030.7096000002</v>
      </c>
      <c r="AG202">
        <v>2464227.4597999998</v>
      </c>
      <c r="AH202">
        <v>2854416.1622000001</v>
      </c>
    </row>
    <row r="203" spans="1:34" x14ac:dyDescent="0.35">
      <c r="A203" t="s">
        <v>81</v>
      </c>
      <c r="B203" t="s">
        <v>35</v>
      </c>
      <c r="C203">
        <v>287622.46656999999</v>
      </c>
      <c r="D203">
        <v>329276.52851999999</v>
      </c>
      <c r="E203">
        <v>357823.40747999999</v>
      </c>
      <c r="F203">
        <v>265746.54605</v>
      </c>
      <c r="G203">
        <v>257269.64648</v>
      </c>
      <c r="H203">
        <v>300284.56092000002</v>
      </c>
      <c r="I203">
        <v>407915.36060000001</v>
      </c>
      <c r="J203">
        <v>426890.79467999999</v>
      </c>
      <c r="AA203">
        <v>62937588.737000003</v>
      </c>
      <c r="AB203">
        <v>63552747.619999997</v>
      </c>
      <c r="AC203">
        <v>60490623.406000003</v>
      </c>
      <c r="AD203">
        <v>65364048.773000002</v>
      </c>
      <c r="AE203">
        <v>64919767.358000003</v>
      </c>
      <c r="AF203">
        <v>69718006.637999997</v>
      </c>
      <c r="AG203">
        <v>77844938.980000004</v>
      </c>
      <c r="AH203">
        <v>80230388.422999993</v>
      </c>
    </row>
    <row r="204" spans="1:34" x14ac:dyDescent="0.35">
      <c r="A204" t="s">
        <v>246</v>
      </c>
      <c r="B204" t="s">
        <v>431</v>
      </c>
      <c r="C204">
        <v>251.3243913</v>
      </c>
      <c r="D204">
        <v>387.46395238000002</v>
      </c>
      <c r="E204">
        <v>694.74316393000004</v>
      </c>
      <c r="F204">
        <v>805.61236364000001</v>
      </c>
      <c r="G204">
        <v>616.03754762000005</v>
      </c>
      <c r="H204">
        <v>935.97429508000005</v>
      </c>
      <c r="I204">
        <v>1125.4003</v>
      </c>
      <c r="J204">
        <v>3905.4975666999999</v>
      </c>
      <c r="AA204">
        <v>1295884</v>
      </c>
      <c r="AB204">
        <v>1180630.6000000001</v>
      </c>
      <c r="AC204">
        <v>1109178.8761</v>
      </c>
      <c r="AD204">
        <v>1044133.54</v>
      </c>
      <c r="AE204">
        <v>1075652.3899999999</v>
      </c>
      <c r="AF204">
        <v>1029981.47</v>
      </c>
      <c r="AG204">
        <v>1057462.9099999999</v>
      </c>
      <c r="AH204">
        <v>973301</v>
      </c>
    </row>
    <row r="205" spans="1:34" x14ac:dyDescent="0.35">
      <c r="A205" t="s">
        <v>250</v>
      </c>
      <c r="B205" t="s">
        <v>435</v>
      </c>
      <c r="C205">
        <v>2349.4013478000002</v>
      </c>
      <c r="D205">
        <v>4119.8183571</v>
      </c>
      <c r="E205">
        <v>3570.6388852</v>
      </c>
      <c r="F205">
        <v>2527.6082273000002</v>
      </c>
      <c r="G205">
        <v>2595.1020951999999</v>
      </c>
      <c r="H205">
        <v>2907.0676884999998</v>
      </c>
      <c r="I205">
        <v>5854.0808500000003</v>
      </c>
      <c r="J205">
        <v>10280.152083000001</v>
      </c>
      <c r="AA205">
        <v>886344.62</v>
      </c>
      <c r="AB205">
        <v>778717.05900000001</v>
      </c>
      <c r="AC205">
        <v>569792.97</v>
      </c>
      <c r="AD205">
        <v>643232.95279999997</v>
      </c>
      <c r="AE205">
        <v>533072.97860000003</v>
      </c>
      <c r="AF205">
        <v>617041.92414999998</v>
      </c>
      <c r="AG205">
        <v>762078.58261000004</v>
      </c>
      <c r="AH205">
        <v>1287518.4066999999</v>
      </c>
    </row>
    <row r="206" spans="1:34" x14ac:dyDescent="0.35">
      <c r="A206" t="s">
        <v>249</v>
      </c>
      <c r="B206" t="s">
        <v>434</v>
      </c>
      <c r="C206">
        <v>7315.6490434999996</v>
      </c>
      <c r="D206">
        <v>5733.7619999999997</v>
      </c>
      <c r="E206">
        <v>4721.7019179999998</v>
      </c>
      <c r="F206">
        <v>1750.8285909000001</v>
      </c>
      <c r="G206">
        <v>1405.6248095000001</v>
      </c>
      <c r="H206">
        <v>1249.6470655999999</v>
      </c>
      <c r="I206">
        <v>816.82905000000005</v>
      </c>
      <c r="J206">
        <v>592.85934999999995</v>
      </c>
      <c r="AA206">
        <v>86357.625799999994</v>
      </c>
      <c r="AB206">
        <v>80959.766399999993</v>
      </c>
      <c r="AC206">
        <v>57242.69354</v>
      </c>
      <c r="AD206">
        <v>82341.589699999997</v>
      </c>
      <c r="AE206">
        <v>69222.421619999994</v>
      </c>
      <c r="AF206">
        <v>72490.269350000002</v>
      </c>
      <c r="AG206">
        <v>67539.714370000002</v>
      </c>
      <c r="AH206">
        <v>89051.489520000003</v>
      </c>
    </row>
    <row r="207" spans="1:34" x14ac:dyDescent="0.35">
      <c r="A207" t="s">
        <v>255</v>
      </c>
      <c r="B207" t="s">
        <v>440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</row>
    <row r="208" spans="1:34" x14ac:dyDescent="0.35">
      <c r="A208" t="s">
        <v>248</v>
      </c>
      <c r="B208" t="s">
        <v>433</v>
      </c>
      <c r="C208">
        <v>1986.4720434999999</v>
      </c>
      <c r="D208">
        <v>2850.7759047999998</v>
      </c>
      <c r="E208">
        <v>2695.1746884999998</v>
      </c>
      <c r="F208">
        <v>1629.3486817999999</v>
      </c>
      <c r="G208">
        <v>1540.1666667</v>
      </c>
      <c r="H208">
        <v>1593.9176066</v>
      </c>
      <c r="I208">
        <v>2946.5700499999998</v>
      </c>
      <c r="J208">
        <v>2509.9173667</v>
      </c>
      <c r="AA208">
        <v>2242894.1123000002</v>
      </c>
      <c r="AB208">
        <v>2000032.9664</v>
      </c>
      <c r="AC208">
        <v>2042917.398</v>
      </c>
      <c r="AD208">
        <v>2196463.3919000002</v>
      </c>
      <c r="AE208">
        <v>2107176.2620999999</v>
      </c>
      <c r="AF208">
        <v>1992888.736</v>
      </c>
      <c r="AG208">
        <v>1957173.8840999999</v>
      </c>
      <c r="AH208">
        <v>1950030.9136999999</v>
      </c>
    </row>
    <row r="209" spans="1:34" x14ac:dyDescent="0.35">
      <c r="A209" t="s">
        <v>83</v>
      </c>
      <c r="B209" t="s">
        <v>37</v>
      </c>
      <c r="C209">
        <v>20716.147174000002</v>
      </c>
      <c r="D209">
        <v>21699.6855</v>
      </c>
      <c r="E209">
        <v>22476.66518</v>
      </c>
      <c r="F209">
        <v>15599.610500000001</v>
      </c>
      <c r="G209">
        <v>18323.636547999999</v>
      </c>
      <c r="H209">
        <v>21567.464951000002</v>
      </c>
      <c r="I209">
        <v>30143.030449999998</v>
      </c>
      <c r="J209">
        <v>27530.268433000001</v>
      </c>
      <c r="AA209">
        <v>4611839.8650000002</v>
      </c>
      <c r="AB209">
        <v>3982560.7807</v>
      </c>
      <c r="AC209">
        <v>3018460.8319999999</v>
      </c>
      <c r="AD209">
        <v>3130255.6776000001</v>
      </c>
      <c r="AE209">
        <v>2683076.2951000002</v>
      </c>
      <c r="AF209">
        <v>3465248.7771000001</v>
      </c>
      <c r="AG209">
        <v>4574811.1934000002</v>
      </c>
      <c r="AH209">
        <v>4549205.9068</v>
      </c>
    </row>
    <row r="210" spans="1:34" x14ac:dyDescent="0.35">
      <c r="A210" t="s">
        <v>253</v>
      </c>
      <c r="B210" t="s">
        <v>438</v>
      </c>
      <c r="C210">
        <v>37247.652261000003</v>
      </c>
      <c r="D210">
        <v>36495.644404999999</v>
      </c>
      <c r="E210">
        <v>40689.348983999997</v>
      </c>
      <c r="F210">
        <v>37257.002409000001</v>
      </c>
      <c r="G210">
        <v>43228.987667000001</v>
      </c>
      <c r="H210">
        <v>48448.357492000003</v>
      </c>
      <c r="I210">
        <v>64800.355600000003</v>
      </c>
      <c r="J210">
        <v>30646.564383000001</v>
      </c>
      <c r="AA210">
        <v>7483187.3230999997</v>
      </c>
      <c r="AB210">
        <v>7659158.8063000003</v>
      </c>
      <c r="AC210">
        <v>7712549.7750000004</v>
      </c>
      <c r="AD210">
        <v>7884429.4556999998</v>
      </c>
      <c r="AE210">
        <v>7950537.0252</v>
      </c>
      <c r="AF210">
        <v>8200504.8216000004</v>
      </c>
      <c r="AG210">
        <v>8725160.7752999999</v>
      </c>
      <c r="AH210">
        <v>8328362.1547999997</v>
      </c>
    </row>
    <row r="211" spans="1:34" x14ac:dyDescent="0.35">
      <c r="A211" t="s">
        <v>482</v>
      </c>
      <c r="B211" t="s">
        <v>495</v>
      </c>
      <c r="C211">
        <v>151511.54634</v>
      </c>
      <c r="D211">
        <v>201294.83991000001</v>
      </c>
      <c r="E211">
        <v>208246.86564999999</v>
      </c>
      <c r="F211">
        <v>138290.73645</v>
      </c>
      <c r="G211">
        <v>158898.31081</v>
      </c>
      <c r="H211">
        <v>156836.98313000001</v>
      </c>
      <c r="I211">
        <v>157311.78868</v>
      </c>
      <c r="J211">
        <v>231496.63341000001</v>
      </c>
    </row>
    <row r="212" spans="1:34" x14ac:dyDescent="0.35">
      <c r="A212" t="s">
        <v>483</v>
      </c>
      <c r="B212" t="s">
        <v>496</v>
      </c>
      <c r="I212">
        <v>0</v>
      </c>
      <c r="J212">
        <v>57.889883333</v>
      </c>
    </row>
    <row r="213" spans="1:34" x14ac:dyDescent="0.35">
      <c r="A213" t="s">
        <v>254</v>
      </c>
      <c r="B213" t="s">
        <v>439</v>
      </c>
      <c r="C213">
        <v>40327.081260999999</v>
      </c>
      <c r="D213">
        <v>49937.856048000001</v>
      </c>
      <c r="E213">
        <v>49665.761885</v>
      </c>
      <c r="F213">
        <v>46187.941636000003</v>
      </c>
      <c r="G213">
        <v>55406.072095000003</v>
      </c>
      <c r="H213">
        <v>57341.135376999999</v>
      </c>
      <c r="I213">
        <v>81104.103700000007</v>
      </c>
      <c r="J213">
        <v>126551.14186</v>
      </c>
      <c r="AA213">
        <v>12809394.014</v>
      </c>
      <c r="AB213">
        <v>10681334.505000001</v>
      </c>
      <c r="AC213">
        <v>9942669.2214000002</v>
      </c>
      <c r="AD213">
        <v>11496211.287</v>
      </c>
      <c r="AE213">
        <v>10458562.435000001</v>
      </c>
      <c r="AF213">
        <v>12195846.082</v>
      </c>
      <c r="AG213">
        <v>14602763.795</v>
      </c>
      <c r="AH213">
        <v>14339973.772</v>
      </c>
    </row>
    <row r="214" spans="1:34" x14ac:dyDescent="0.35">
      <c r="A214" t="s">
        <v>247</v>
      </c>
      <c r="B214" t="s">
        <v>432</v>
      </c>
      <c r="C214">
        <v>28800.409825999999</v>
      </c>
      <c r="D214">
        <v>33445.635499999997</v>
      </c>
      <c r="E214">
        <v>33602.546918</v>
      </c>
      <c r="F214">
        <v>30516.344272999999</v>
      </c>
      <c r="G214">
        <v>30196.889595000001</v>
      </c>
      <c r="H214">
        <v>30032.175999999999</v>
      </c>
      <c r="I214">
        <v>37381.924550000003</v>
      </c>
      <c r="J214">
        <v>38427.857582999997</v>
      </c>
      <c r="AA214">
        <v>8417264.1000999995</v>
      </c>
      <c r="AB214">
        <v>8443858.9313999992</v>
      </c>
      <c r="AC214">
        <v>7683980.3327000001</v>
      </c>
      <c r="AD214">
        <v>7730229.5694000004</v>
      </c>
      <c r="AE214">
        <v>6993545.2984999996</v>
      </c>
      <c r="AF214">
        <v>6801560.2736999998</v>
      </c>
      <c r="AG214">
        <v>6410552.7023999998</v>
      </c>
      <c r="AH214">
        <v>6952706.0575999999</v>
      </c>
    </row>
    <row r="215" spans="1:34" x14ac:dyDescent="0.35">
      <c r="A215" t="s">
        <v>110</v>
      </c>
      <c r="B215" t="s">
        <v>300</v>
      </c>
      <c r="C215">
        <v>7147.1989565000003</v>
      </c>
      <c r="D215">
        <v>7747.4626189999999</v>
      </c>
      <c r="E215">
        <v>7264.8925902000001</v>
      </c>
      <c r="F215">
        <v>4053.6453182</v>
      </c>
      <c r="G215">
        <v>4512.5094523999996</v>
      </c>
      <c r="H215">
        <v>5074.5223933999996</v>
      </c>
      <c r="I215">
        <v>10248.223400000001</v>
      </c>
      <c r="J215">
        <v>7468.1185833</v>
      </c>
      <c r="AA215">
        <v>1678338.9828000001</v>
      </c>
      <c r="AB215">
        <v>1515223.3066</v>
      </c>
      <c r="AC215">
        <v>1379011.5776</v>
      </c>
      <c r="AD215">
        <v>1462236.1392999999</v>
      </c>
      <c r="AE215">
        <v>1349239.0503</v>
      </c>
      <c r="AF215">
        <v>1399011.5776</v>
      </c>
      <c r="AG215">
        <v>1389595.1535</v>
      </c>
      <c r="AH215">
        <v>1506627.8528</v>
      </c>
    </row>
    <row r="216" spans="1:34" x14ac:dyDescent="0.35">
      <c r="A216" t="s">
        <v>251</v>
      </c>
      <c r="B216" t="s">
        <v>436</v>
      </c>
      <c r="C216">
        <v>17226.380434999999</v>
      </c>
      <c r="D216">
        <v>21917.001404999999</v>
      </c>
      <c r="E216">
        <v>20695.272131000002</v>
      </c>
      <c r="F216">
        <v>12560.595227</v>
      </c>
      <c r="G216">
        <v>21981.264428999999</v>
      </c>
      <c r="H216">
        <v>22886.950573999999</v>
      </c>
      <c r="I216">
        <v>55241.779549999999</v>
      </c>
      <c r="J216">
        <v>37489.087549999997</v>
      </c>
      <c r="AA216">
        <v>5168363.0718</v>
      </c>
      <c r="AB216">
        <v>3929201.3232999998</v>
      </c>
      <c r="AC216">
        <v>3424785.9304999998</v>
      </c>
      <c r="AD216">
        <v>4022566.7475000001</v>
      </c>
      <c r="AE216">
        <v>5093590.7111999998</v>
      </c>
      <c r="AF216">
        <v>4788473.4192000004</v>
      </c>
      <c r="AG216">
        <v>6102345.8398000002</v>
      </c>
      <c r="AH216">
        <v>7136008.5025000004</v>
      </c>
    </row>
    <row r="217" spans="1:34" x14ac:dyDescent="0.35">
      <c r="A217" t="s">
        <v>245</v>
      </c>
      <c r="B217" t="s">
        <v>430</v>
      </c>
      <c r="C217">
        <v>118827.00264999999</v>
      </c>
      <c r="D217">
        <v>98465.509833000004</v>
      </c>
      <c r="E217">
        <v>86861.164130999998</v>
      </c>
      <c r="F217">
        <v>69038.123909000002</v>
      </c>
      <c r="G217">
        <v>64534.593024000002</v>
      </c>
      <c r="H217">
        <v>63419.390590000003</v>
      </c>
      <c r="I217">
        <v>54328.414649999999</v>
      </c>
      <c r="J217">
        <v>2107.5374000000002</v>
      </c>
      <c r="AA217">
        <v>10909591.92</v>
      </c>
      <c r="AB217">
        <v>11073710.880000001</v>
      </c>
      <c r="AC217">
        <v>11293113</v>
      </c>
      <c r="AD217">
        <v>11353320</v>
      </c>
      <c r="AE217">
        <v>11490936</v>
      </c>
      <c r="AF217">
        <v>11441542.199999999</v>
      </c>
      <c r="AG217">
        <v>11639254.800000001</v>
      </c>
      <c r="AH217">
        <v>11759601.6</v>
      </c>
    </row>
    <row r="218" spans="1:34" x14ac:dyDescent="0.35">
      <c r="A218" t="s">
        <v>84</v>
      </c>
      <c r="B218" t="s">
        <v>38</v>
      </c>
      <c r="C218">
        <v>314429.08003999997</v>
      </c>
      <c r="D218">
        <v>363823.06037999998</v>
      </c>
      <c r="E218">
        <v>415150.14153999998</v>
      </c>
      <c r="F218">
        <v>303055.96859</v>
      </c>
      <c r="G218">
        <v>318383.32413999998</v>
      </c>
      <c r="H218">
        <v>313103.40814999997</v>
      </c>
      <c r="I218">
        <v>329871.71970000002</v>
      </c>
      <c r="J218">
        <v>308737.28515000001</v>
      </c>
      <c r="AA218">
        <v>74069484.060000002</v>
      </c>
      <c r="AB218">
        <v>77328690.067000002</v>
      </c>
      <c r="AC218">
        <v>76560360.134000003</v>
      </c>
      <c r="AD218">
        <v>77279120.393999994</v>
      </c>
      <c r="AE218">
        <v>69781707.334999993</v>
      </c>
      <c r="AF218">
        <v>65574749.656999998</v>
      </c>
      <c r="AG218">
        <v>62032177.234999999</v>
      </c>
      <c r="AH218">
        <v>61499552.710000001</v>
      </c>
    </row>
    <row r="219" spans="1:34" x14ac:dyDescent="0.35">
      <c r="A219" t="s">
        <v>85</v>
      </c>
      <c r="B219" t="s">
        <v>39</v>
      </c>
      <c r="C219">
        <v>55315.396782999997</v>
      </c>
      <c r="D219">
        <v>63735.7045</v>
      </c>
      <c r="E219">
        <v>68039.940885000004</v>
      </c>
      <c r="F219">
        <v>61017.732636000001</v>
      </c>
      <c r="G219">
        <v>54208.736524</v>
      </c>
      <c r="H219">
        <v>54444.701426</v>
      </c>
      <c r="I219">
        <v>58127.721299999997</v>
      </c>
      <c r="J219">
        <v>91859.945967000007</v>
      </c>
      <c r="AA219">
        <v>12004797.210000001</v>
      </c>
      <c r="AB219">
        <v>11730180.85</v>
      </c>
      <c r="AC219">
        <v>11346297.550000001</v>
      </c>
      <c r="AD219">
        <v>11395023.880000001</v>
      </c>
      <c r="AE219">
        <v>11319740.67</v>
      </c>
      <c r="AF219">
        <v>11678516.1</v>
      </c>
      <c r="AG219">
        <v>12354716.98</v>
      </c>
      <c r="AH219">
        <v>12164249.59</v>
      </c>
    </row>
    <row r="220" spans="1:34" x14ac:dyDescent="0.35">
      <c r="A220" t="s">
        <v>86</v>
      </c>
      <c r="B220" t="s">
        <v>40</v>
      </c>
      <c r="C220">
        <v>2350.9561303999999</v>
      </c>
      <c r="D220">
        <v>2973.9251666999999</v>
      </c>
      <c r="E220">
        <v>3021.7088524999999</v>
      </c>
      <c r="F220">
        <v>1864.1077273000001</v>
      </c>
      <c r="G220">
        <v>1811.453</v>
      </c>
      <c r="H220">
        <v>1743.9845574000001</v>
      </c>
      <c r="I220">
        <v>2617.03865</v>
      </c>
      <c r="J220">
        <v>1468.3695832999999</v>
      </c>
      <c r="AA220">
        <v>1203582.3995000001</v>
      </c>
      <c r="AB220">
        <v>1161990.5578999999</v>
      </c>
      <c r="AC220">
        <v>1066684.5219000001</v>
      </c>
      <c r="AD220">
        <v>1022249.4303</v>
      </c>
      <c r="AE220">
        <v>1011085.3712000001</v>
      </c>
      <c r="AF220">
        <v>1031566.5936</v>
      </c>
      <c r="AG220">
        <v>1075002.1963</v>
      </c>
      <c r="AH220">
        <v>1083259.6283</v>
      </c>
    </row>
    <row r="221" spans="1:34" x14ac:dyDescent="0.35">
      <c r="A221" t="s">
        <v>257</v>
      </c>
      <c r="B221" t="s">
        <v>442</v>
      </c>
      <c r="C221">
        <v>211.33304347999999</v>
      </c>
      <c r="D221">
        <v>181.53997619</v>
      </c>
      <c r="E221">
        <v>170.25268851999999</v>
      </c>
      <c r="F221">
        <v>141.40527273000001</v>
      </c>
      <c r="G221">
        <v>121.99214284999999</v>
      </c>
      <c r="H221">
        <v>107.30814753999999</v>
      </c>
      <c r="I221">
        <v>167.5479</v>
      </c>
      <c r="J221">
        <v>89.510383332999993</v>
      </c>
      <c r="AA221">
        <v>100121.84</v>
      </c>
      <c r="AB221">
        <v>100858.03</v>
      </c>
      <c r="AC221">
        <v>92023.75</v>
      </c>
      <c r="AD221">
        <v>117790.39999999999</v>
      </c>
      <c r="AE221">
        <v>99385.65</v>
      </c>
      <c r="AF221">
        <v>108956.12</v>
      </c>
      <c r="AG221">
        <v>95704.7</v>
      </c>
      <c r="AH221">
        <v>88342.8</v>
      </c>
    </row>
    <row r="222" spans="1:34" x14ac:dyDescent="0.35">
      <c r="A222" t="s">
        <v>260</v>
      </c>
      <c r="B222" t="s">
        <v>445</v>
      </c>
      <c r="C222">
        <v>40582.378042999997</v>
      </c>
      <c r="D222">
        <v>51618.015786000004</v>
      </c>
      <c r="E222">
        <v>50559.030343999999</v>
      </c>
      <c r="F222">
        <v>34506.319908999998</v>
      </c>
      <c r="G222">
        <v>37615.251475999998</v>
      </c>
      <c r="H222">
        <v>37520.635458999997</v>
      </c>
      <c r="I222">
        <v>31634.340400000001</v>
      </c>
      <c r="J222">
        <v>56955.404949999996</v>
      </c>
      <c r="AA222">
        <v>1847640.94</v>
      </c>
      <c r="AB222">
        <v>1724546.94</v>
      </c>
      <c r="AC222">
        <v>1531289.36</v>
      </c>
      <c r="AD222">
        <v>1761444.5092</v>
      </c>
      <c r="AE222">
        <v>1805572.5554</v>
      </c>
      <c r="AF222">
        <v>1691576.4</v>
      </c>
      <c r="AG222">
        <v>1979634.7</v>
      </c>
      <c r="AH222">
        <v>2830326.02</v>
      </c>
    </row>
    <row r="223" spans="1:34" x14ac:dyDescent="0.35">
      <c r="A223" t="s">
        <v>263</v>
      </c>
      <c r="B223" t="s">
        <v>448</v>
      </c>
      <c r="C223">
        <v>1959.7896957</v>
      </c>
      <c r="D223">
        <v>4727.8923570999996</v>
      </c>
      <c r="E223">
        <v>4887.5508852000003</v>
      </c>
      <c r="F223">
        <v>3551.8514091000002</v>
      </c>
      <c r="G223">
        <v>3689.5651189999999</v>
      </c>
      <c r="H223">
        <v>3852.3589179999999</v>
      </c>
      <c r="I223">
        <v>4947.9791999999998</v>
      </c>
      <c r="J223">
        <v>13285.936782999999</v>
      </c>
      <c r="AA223">
        <v>1661067.2104</v>
      </c>
      <c r="AB223">
        <v>1419865.0891</v>
      </c>
      <c r="AC223">
        <v>1391655.8489000001</v>
      </c>
      <c r="AD223">
        <v>1515463.0697000001</v>
      </c>
      <c r="AE223">
        <v>1538970.7697999999</v>
      </c>
      <c r="AF223">
        <v>1705091.8509</v>
      </c>
      <c r="AG223">
        <v>1810092.9116</v>
      </c>
      <c r="AH223">
        <v>2270843.8344999999</v>
      </c>
    </row>
    <row r="224" spans="1:34" x14ac:dyDescent="0.35">
      <c r="A224" t="s">
        <v>258</v>
      </c>
      <c r="B224" t="s">
        <v>443</v>
      </c>
      <c r="C224">
        <v>6851.0114782999999</v>
      </c>
      <c r="D224">
        <v>7833.7336905000002</v>
      </c>
      <c r="E224">
        <v>8486.8065081999994</v>
      </c>
      <c r="F224">
        <v>5728.6570000000002</v>
      </c>
      <c r="G224">
        <v>6315.2746189999998</v>
      </c>
      <c r="H224">
        <v>7267.7142623</v>
      </c>
      <c r="I224">
        <v>8097.8124500000004</v>
      </c>
      <c r="J224">
        <v>7715.8367833000002</v>
      </c>
      <c r="AA224">
        <v>1946483.0294000001</v>
      </c>
      <c r="AB224">
        <v>2017695.8232</v>
      </c>
      <c r="AC224">
        <v>1887798.4124</v>
      </c>
      <c r="AD224">
        <v>1995936.3584</v>
      </c>
      <c r="AE224">
        <v>2129790.0356000001</v>
      </c>
      <c r="AF224">
        <v>2218806.0277999998</v>
      </c>
      <c r="AG224">
        <v>2351340.9495000001</v>
      </c>
      <c r="AH224">
        <v>2421894.3656000001</v>
      </c>
    </row>
    <row r="225" spans="1:34" x14ac:dyDescent="0.35">
      <c r="A225" t="s">
        <v>261</v>
      </c>
      <c r="B225" t="s">
        <v>446</v>
      </c>
      <c r="C225">
        <v>124567.07812999999</v>
      </c>
      <c r="D225">
        <v>131224.12419</v>
      </c>
      <c r="E225">
        <v>131355.4112</v>
      </c>
      <c r="F225">
        <v>116055.851</v>
      </c>
      <c r="G225">
        <v>125648.44604</v>
      </c>
      <c r="H225">
        <v>124639.46571999999</v>
      </c>
      <c r="I225">
        <v>111621.43184999999</v>
      </c>
      <c r="J225">
        <v>153155.30677</v>
      </c>
      <c r="AA225">
        <v>40130408.344999999</v>
      </c>
      <c r="AB225">
        <v>38339304.473999999</v>
      </c>
      <c r="AC225">
        <v>35050332.568999998</v>
      </c>
      <c r="AD225">
        <v>37858232.140000001</v>
      </c>
      <c r="AE225">
        <v>39141151.770999998</v>
      </c>
      <c r="AF225">
        <v>43556477.004000001</v>
      </c>
      <c r="AG225">
        <v>45855291.068000004</v>
      </c>
      <c r="AH225">
        <v>47161985.377999999</v>
      </c>
    </row>
    <row r="226" spans="1:34" x14ac:dyDescent="0.35">
      <c r="A226" t="s">
        <v>262</v>
      </c>
      <c r="B226" t="s">
        <v>447</v>
      </c>
      <c r="C226">
        <v>93759.849000000002</v>
      </c>
      <c r="D226">
        <v>127667.30911</v>
      </c>
      <c r="E226">
        <v>121487.12398</v>
      </c>
      <c r="F226">
        <v>97898.618499999997</v>
      </c>
      <c r="G226">
        <v>137451.99601999999</v>
      </c>
      <c r="H226">
        <v>137395.67358999999</v>
      </c>
      <c r="I226">
        <v>120949.28939999999</v>
      </c>
      <c r="J226">
        <v>120471.37910999999</v>
      </c>
      <c r="AA226">
        <v>17685808.934999999</v>
      </c>
      <c r="AB226">
        <v>16275211.573999999</v>
      </c>
      <c r="AC226">
        <v>15672537.705</v>
      </c>
      <c r="AD226">
        <v>19105848.769000001</v>
      </c>
      <c r="AE226">
        <v>20482688.530000001</v>
      </c>
      <c r="AF226">
        <v>19551773.452</v>
      </c>
      <c r="AG226">
        <v>22041885.443999998</v>
      </c>
      <c r="AH226">
        <v>24731206.396000002</v>
      </c>
    </row>
    <row r="227" spans="1:34" x14ac:dyDescent="0.35">
      <c r="A227" t="s">
        <v>264</v>
      </c>
      <c r="B227" t="s">
        <v>449</v>
      </c>
      <c r="C227">
        <v>2785.6479565</v>
      </c>
      <c r="D227">
        <v>2932.8373571000002</v>
      </c>
      <c r="E227">
        <v>2927.2124097999999</v>
      </c>
      <c r="F227">
        <v>3381.8035</v>
      </c>
      <c r="G227">
        <v>2898.6419286</v>
      </c>
      <c r="H227">
        <v>3058.5074261999998</v>
      </c>
      <c r="I227">
        <v>3615.3202000000001</v>
      </c>
      <c r="J227">
        <v>3515.9203667000002</v>
      </c>
      <c r="AA227">
        <v>958098.35</v>
      </c>
      <c r="AB227">
        <v>959909.5</v>
      </c>
      <c r="AC227">
        <v>792115.38</v>
      </c>
      <c r="AD227">
        <v>964548.66</v>
      </c>
      <c r="AE227">
        <v>1002268.44</v>
      </c>
      <c r="AF227">
        <v>1122612.5</v>
      </c>
      <c r="AG227">
        <v>1250141.28</v>
      </c>
      <c r="AH227">
        <v>1399224.22</v>
      </c>
    </row>
    <row r="228" spans="1:34" x14ac:dyDescent="0.35">
      <c r="A228" t="s">
        <v>187</v>
      </c>
      <c r="B228" t="s">
        <v>374</v>
      </c>
      <c r="C228">
        <v>56206.993564999997</v>
      </c>
      <c r="D228">
        <v>55362.202713999999</v>
      </c>
      <c r="E228">
        <v>65389.179196999998</v>
      </c>
      <c r="F228">
        <v>79646.958455</v>
      </c>
      <c r="G228">
        <v>72519.588428999996</v>
      </c>
      <c r="H228">
        <v>67647.938328000004</v>
      </c>
      <c r="I228">
        <v>50794.160250000001</v>
      </c>
      <c r="J228">
        <v>55851.182967000001</v>
      </c>
      <c r="AA228">
        <v>17709243.863000002</v>
      </c>
      <c r="AB228">
        <v>17832518.596000001</v>
      </c>
      <c r="AC228">
        <v>17090279.059999999</v>
      </c>
      <c r="AD228">
        <v>17988482.896000002</v>
      </c>
      <c r="AE228">
        <v>17465666.488000002</v>
      </c>
      <c r="AF228">
        <v>17087321.390999999</v>
      </c>
      <c r="AG228">
        <v>17883009.206</v>
      </c>
      <c r="AH228">
        <v>17623236.921999998</v>
      </c>
    </row>
    <row r="229" spans="1:34" x14ac:dyDescent="0.35">
      <c r="A229" t="s">
        <v>256</v>
      </c>
      <c r="B229" t="s">
        <v>441</v>
      </c>
      <c r="C229">
        <v>12289.728042999999</v>
      </c>
      <c r="D229">
        <v>11501.9733</v>
      </c>
      <c r="E229">
        <v>10334.463669000001</v>
      </c>
      <c r="F229">
        <v>10952.910431</v>
      </c>
      <c r="G229">
        <v>7951.5382425999996</v>
      </c>
      <c r="H229">
        <v>7262.6078004999999</v>
      </c>
      <c r="I229">
        <v>9509.1146774999997</v>
      </c>
      <c r="J229">
        <v>13807.726892000001</v>
      </c>
    </row>
    <row r="230" spans="1:34" x14ac:dyDescent="0.35">
      <c r="A230" t="s">
        <v>92</v>
      </c>
      <c r="B230" t="s">
        <v>283</v>
      </c>
      <c r="C230">
        <v>8690.2850435</v>
      </c>
      <c r="D230">
        <v>14341.948881</v>
      </c>
      <c r="E230">
        <v>15521.867114000001</v>
      </c>
      <c r="F230">
        <v>15244.281136</v>
      </c>
      <c r="G230">
        <v>19304.342928999999</v>
      </c>
      <c r="H230">
        <v>17762.455344000002</v>
      </c>
      <c r="I230">
        <v>21290.044300000001</v>
      </c>
      <c r="J230">
        <v>19078.181682999999</v>
      </c>
      <c r="AA230">
        <v>5664397.5599999996</v>
      </c>
      <c r="AB230">
        <v>6785320.5599999996</v>
      </c>
      <c r="AC230">
        <v>6845098.2697999999</v>
      </c>
      <c r="AD230">
        <v>8020821.1167000001</v>
      </c>
      <c r="AE230">
        <v>7313394.6579999998</v>
      </c>
      <c r="AF230">
        <v>7215446.8770000003</v>
      </c>
      <c r="AG230">
        <v>8066959.2413999997</v>
      </c>
      <c r="AH230">
        <v>6946548.2356000002</v>
      </c>
    </row>
    <row r="231" spans="1:34" x14ac:dyDescent="0.35">
      <c r="A231" t="s">
        <v>87</v>
      </c>
      <c r="B231" t="s">
        <v>41</v>
      </c>
      <c r="C231">
        <v>12378.700999999999</v>
      </c>
      <c r="D231">
        <v>15147.232214</v>
      </c>
      <c r="E231">
        <v>17729.651819999999</v>
      </c>
      <c r="F231">
        <v>13216.545818000001</v>
      </c>
      <c r="G231">
        <v>10498.404976</v>
      </c>
      <c r="H231">
        <v>12005.495901</v>
      </c>
      <c r="I231">
        <v>26470.633000000002</v>
      </c>
      <c r="J231">
        <v>11748.643816</v>
      </c>
      <c r="AA231">
        <v>3339376.9</v>
      </c>
      <c r="AB231">
        <v>2957529.52</v>
      </c>
      <c r="AC231">
        <v>3071561.0507999999</v>
      </c>
      <c r="AD231">
        <v>2989991.97</v>
      </c>
      <c r="AE231">
        <v>2811220.2</v>
      </c>
      <c r="AF231">
        <v>2457091</v>
      </c>
      <c r="AG231">
        <v>2895857.25</v>
      </c>
      <c r="AH231">
        <v>2598846.25</v>
      </c>
    </row>
    <row r="232" spans="1:34" x14ac:dyDescent="0.35">
      <c r="A232" t="s">
        <v>266</v>
      </c>
      <c r="B232" t="s">
        <v>451</v>
      </c>
      <c r="C232">
        <v>44.068043478</v>
      </c>
      <c r="D232">
        <v>52.429904762</v>
      </c>
      <c r="E232">
        <v>85.019016393000001</v>
      </c>
      <c r="F232">
        <v>93.569590908999999</v>
      </c>
      <c r="G232">
        <v>83.988547619000002</v>
      </c>
      <c r="H232">
        <v>86.038442622999995</v>
      </c>
      <c r="I232">
        <v>111.9842</v>
      </c>
      <c r="J232">
        <v>70.387766666999994</v>
      </c>
      <c r="AA232">
        <v>142746.54624</v>
      </c>
      <c r="AB232">
        <v>137459.63712</v>
      </c>
      <c r="AC232">
        <v>125564.0916</v>
      </c>
      <c r="AD232">
        <v>102433.8642</v>
      </c>
      <c r="AE232">
        <v>95164.364159999997</v>
      </c>
      <c r="AF232">
        <v>97807.818719999996</v>
      </c>
      <c r="AG232">
        <v>111025.09152</v>
      </c>
      <c r="AH232">
        <v>102433.8642</v>
      </c>
    </row>
    <row r="233" spans="1:34" x14ac:dyDescent="0.35">
      <c r="A233" t="s">
        <v>265</v>
      </c>
      <c r="B233" t="s">
        <v>450</v>
      </c>
      <c r="C233">
        <v>93111.336739000006</v>
      </c>
      <c r="D233">
        <v>106754.55885</v>
      </c>
      <c r="E233">
        <v>111249.06104</v>
      </c>
      <c r="F233">
        <v>97589.993136000005</v>
      </c>
      <c r="G233">
        <v>109807.06522999999</v>
      </c>
      <c r="H233">
        <v>110984.84106000001</v>
      </c>
      <c r="I233">
        <v>102215.6918</v>
      </c>
      <c r="J233">
        <v>163272.89095</v>
      </c>
      <c r="AA233">
        <v>23060131.872000001</v>
      </c>
      <c r="AB233">
        <v>19803674.761999998</v>
      </c>
      <c r="AC233">
        <v>17406957.787999999</v>
      </c>
      <c r="AD233">
        <v>18722345.026999999</v>
      </c>
      <c r="AE233">
        <v>18229074.811999999</v>
      </c>
      <c r="AF233">
        <v>18638765</v>
      </c>
      <c r="AG233">
        <v>19423096.432</v>
      </c>
      <c r="AH233">
        <v>17745498.647</v>
      </c>
    </row>
    <row r="234" spans="1:34" x14ac:dyDescent="0.35">
      <c r="A234" t="s">
        <v>268</v>
      </c>
      <c r="B234" t="s">
        <v>453</v>
      </c>
      <c r="C234">
        <v>6689.9048260999998</v>
      </c>
      <c r="D234">
        <v>9275.7631904999998</v>
      </c>
      <c r="E234">
        <v>9001.9624753999997</v>
      </c>
      <c r="F234">
        <v>5416.5182727000001</v>
      </c>
      <c r="G234">
        <v>5442.1851189999998</v>
      </c>
      <c r="H234">
        <v>8416.7709343999995</v>
      </c>
      <c r="I234">
        <v>7441.5947500000002</v>
      </c>
      <c r="J234">
        <v>19356.762032999999</v>
      </c>
      <c r="AA234">
        <v>5076792.6275000004</v>
      </c>
      <c r="AB234">
        <v>5803640.7432000004</v>
      </c>
      <c r="AC234">
        <v>5326416.7969000004</v>
      </c>
      <c r="AD234">
        <v>5521151.2045</v>
      </c>
      <c r="AE234">
        <v>5131519.9738999996</v>
      </c>
      <c r="AF234">
        <v>6077986.8309000004</v>
      </c>
      <c r="AG234">
        <v>5945051.9819999998</v>
      </c>
      <c r="AH234">
        <v>6555000.3815000001</v>
      </c>
    </row>
    <row r="235" spans="1:34" x14ac:dyDescent="0.35">
      <c r="A235" t="s">
        <v>88</v>
      </c>
      <c r="B235" t="s">
        <v>42</v>
      </c>
      <c r="C235">
        <v>2155.3706522000002</v>
      </c>
      <c r="D235">
        <v>2086.025619</v>
      </c>
      <c r="E235">
        <v>2007.7996066000001</v>
      </c>
      <c r="F235">
        <v>1229.0710908999999</v>
      </c>
      <c r="G235">
        <v>1294.4874761999999</v>
      </c>
      <c r="H235">
        <v>1240.6680328</v>
      </c>
      <c r="I235">
        <v>1826.2827500000001</v>
      </c>
      <c r="J235">
        <v>4132.6854167000001</v>
      </c>
      <c r="AA235">
        <v>7967874.8158999998</v>
      </c>
      <c r="AB235">
        <v>7537391.4687999999</v>
      </c>
      <c r="AC235">
        <v>6548614.9512</v>
      </c>
      <c r="AD235">
        <v>6879612.9855000004</v>
      </c>
      <c r="AE235">
        <v>6993545.8871999998</v>
      </c>
      <c r="AF235">
        <v>6942902.8169</v>
      </c>
      <c r="AG235">
        <v>6793242.2298999997</v>
      </c>
      <c r="AH235">
        <v>6330807.3186999997</v>
      </c>
    </row>
    <row r="236" spans="1:34" x14ac:dyDescent="0.35">
      <c r="A236" t="s">
        <v>269</v>
      </c>
      <c r="B236" t="s">
        <v>454</v>
      </c>
      <c r="C236">
        <v>89982.146391000002</v>
      </c>
      <c r="D236">
        <v>83610.593357000005</v>
      </c>
      <c r="E236">
        <v>79118.396311999997</v>
      </c>
      <c r="F236">
        <v>64962.578681999999</v>
      </c>
      <c r="G236">
        <v>66966.996832999997</v>
      </c>
      <c r="H236">
        <v>64303.627262000002</v>
      </c>
      <c r="I236">
        <v>85232.770499999999</v>
      </c>
      <c r="J236">
        <v>69843.540867000003</v>
      </c>
      <c r="AA236">
        <v>7967874.8158999998</v>
      </c>
      <c r="AB236">
        <v>7537391.4687999999</v>
      </c>
      <c r="AC236">
        <v>6548614.9512</v>
      </c>
      <c r="AD236">
        <v>6879612.9855000004</v>
      </c>
      <c r="AE236">
        <v>6993545.8871999998</v>
      </c>
      <c r="AF236">
        <v>6942902.8169</v>
      </c>
      <c r="AG236">
        <v>6793242.2298999997</v>
      </c>
      <c r="AH236">
        <v>6330807.3186999997</v>
      </c>
    </row>
    <row r="237" spans="1:34" x14ac:dyDescent="0.35">
      <c r="A237" t="s">
        <v>89</v>
      </c>
      <c r="B237" t="s">
        <v>43</v>
      </c>
      <c r="C237">
        <v>1357835.8770999999</v>
      </c>
      <c r="D237">
        <v>1320092.0560000001</v>
      </c>
      <c r="E237">
        <v>1329027.1412</v>
      </c>
      <c r="F237">
        <v>1843015.6217</v>
      </c>
      <c r="G237">
        <v>1748450.4084999999</v>
      </c>
      <c r="H237">
        <v>1589576.6784999999</v>
      </c>
      <c r="I237">
        <v>1350419.7208</v>
      </c>
      <c r="J237">
        <v>1506058.1635</v>
      </c>
      <c r="AA237">
        <v>264936561.08000001</v>
      </c>
      <c r="AB237">
        <v>250934113.13</v>
      </c>
      <c r="AC237">
        <v>232858676.65000001</v>
      </c>
      <c r="AD237">
        <v>234907662.25999999</v>
      </c>
      <c r="AE237">
        <v>235419908.66</v>
      </c>
      <c r="AF237">
        <v>242039826.68000001</v>
      </c>
      <c r="AG237">
        <v>225647711.43000001</v>
      </c>
      <c r="AH237">
        <v>222403438.63</v>
      </c>
    </row>
    <row r="238" spans="1:34" x14ac:dyDescent="0.35">
      <c r="A238" t="s">
        <v>90</v>
      </c>
      <c r="B238" t="s">
        <v>44</v>
      </c>
      <c r="C238">
        <v>73428.870913000006</v>
      </c>
      <c r="D238">
        <v>66371.671071000004</v>
      </c>
      <c r="E238">
        <v>65682.893131000004</v>
      </c>
      <c r="F238">
        <v>22927.062635999999</v>
      </c>
      <c r="G238">
        <v>31627.461213999999</v>
      </c>
      <c r="H238">
        <v>38938.902902000002</v>
      </c>
      <c r="I238">
        <v>57859.209199999998</v>
      </c>
      <c r="J238">
        <v>54550.869417000002</v>
      </c>
      <c r="AA238">
        <v>6799694.6577000003</v>
      </c>
      <c r="AB238">
        <v>5969178.3891000003</v>
      </c>
      <c r="AC238">
        <v>5132534.3008000003</v>
      </c>
      <c r="AD238">
        <v>5262198.3251999998</v>
      </c>
      <c r="AE238">
        <v>4116832.7760000001</v>
      </c>
      <c r="AF238">
        <v>4690886.8114</v>
      </c>
      <c r="AG238">
        <v>5257212.5539999995</v>
      </c>
      <c r="AH238">
        <v>5310639.5109000001</v>
      </c>
    </row>
    <row r="239" spans="1:34" x14ac:dyDescent="0.35">
      <c r="A239" t="s">
        <v>271</v>
      </c>
      <c r="B239" t="s">
        <v>456</v>
      </c>
      <c r="C239">
        <v>144498.57870000001</v>
      </c>
      <c r="D239">
        <v>175303.65948</v>
      </c>
      <c r="E239">
        <v>187959.48499999999</v>
      </c>
      <c r="F239">
        <v>194716.34190999999</v>
      </c>
      <c r="G239">
        <v>218028.31452000001</v>
      </c>
      <c r="H239">
        <v>205225.58775000001</v>
      </c>
      <c r="I239">
        <v>171057.25109999999</v>
      </c>
      <c r="J239">
        <v>254308.89292000001</v>
      </c>
      <c r="AA239">
        <v>24864428.07</v>
      </c>
      <c r="AB239">
        <v>22992073.109999999</v>
      </c>
      <c r="AC239">
        <v>19882876.239999998</v>
      </c>
      <c r="AD239">
        <v>19793715.359999999</v>
      </c>
      <c r="AE239">
        <v>18968977.219999999</v>
      </c>
      <c r="AF239">
        <v>19816005.579999998</v>
      </c>
      <c r="AG239">
        <v>20952806.800000001</v>
      </c>
      <c r="AH239">
        <v>22490831.98</v>
      </c>
    </row>
    <row r="240" spans="1:34" x14ac:dyDescent="0.35">
      <c r="A240" t="s">
        <v>273</v>
      </c>
      <c r="B240" t="s">
        <v>458</v>
      </c>
      <c r="C240">
        <v>2090.3182609</v>
      </c>
      <c r="D240">
        <v>1639.0777381</v>
      </c>
      <c r="E240">
        <v>1668.6001802999999</v>
      </c>
      <c r="F240">
        <v>2576.5232273000001</v>
      </c>
      <c r="G240">
        <v>2158.2424523999998</v>
      </c>
      <c r="H240">
        <v>1806.3566229999999</v>
      </c>
      <c r="I240">
        <v>1142.0310500000001</v>
      </c>
      <c r="J240">
        <v>706.58076667</v>
      </c>
      <c r="AA240">
        <v>827854.46268999996</v>
      </c>
      <c r="AB240">
        <v>797805.29888999998</v>
      </c>
      <c r="AC240">
        <v>810049.89060000004</v>
      </c>
      <c r="AD240">
        <v>829551.09166999999</v>
      </c>
      <c r="AE240">
        <v>802549.42865000002</v>
      </c>
      <c r="AF240">
        <v>790631.41669999994</v>
      </c>
      <c r="AG240">
        <v>775713.84279999998</v>
      </c>
      <c r="AH240">
        <v>689191.91417999996</v>
      </c>
    </row>
    <row r="241" spans="1:34" x14ac:dyDescent="0.35">
      <c r="A241" t="s">
        <v>274</v>
      </c>
      <c r="B241" t="s">
        <v>459</v>
      </c>
      <c r="C241">
        <v>68807.693043000007</v>
      </c>
      <c r="D241">
        <v>84354.486713999999</v>
      </c>
      <c r="E241">
        <v>79507.500425999999</v>
      </c>
      <c r="F241">
        <v>58664.647227000001</v>
      </c>
      <c r="G241">
        <v>76849.455499999996</v>
      </c>
      <c r="H241">
        <v>87881.272639000003</v>
      </c>
      <c r="I241">
        <v>72827.966</v>
      </c>
      <c r="J241">
        <v>81454.638032999996</v>
      </c>
      <c r="AA241">
        <v>6008345.2695000004</v>
      </c>
      <c r="AB241">
        <v>5388007.7055000002</v>
      </c>
      <c r="AC241">
        <v>4524966.1957</v>
      </c>
      <c r="AD241">
        <v>5173740.5697999997</v>
      </c>
      <c r="AE241">
        <v>4010177.8336999998</v>
      </c>
      <c r="AF241">
        <v>4675437.7780999998</v>
      </c>
      <c r="AG241">
        <v>5197281.5119000003</v>
      </c>
      <c r="AH241">
        <v>6109332.7225000001</v>
      </c>
    </row>
    <row r="242" spans="1:34" x14ac:dyDescent="0.35">
      <c r="A242" t="s">
        <v>259</v>
      </c>
      <c r="B242" t="s">
        <v>444</v>
      </c>
      <c r="C242">
        <v>119718.06243000001</v>
      </c>
      <c r="D242">
        <v>118868.43330999999</v>
      </c>
      <c r="E242">
        <v>129821.97713</v>
      </c>
      <c r="F242">
        <v>95428.897681999995</v>
      </c>
      <c r="G242">
        <v>109273.42395</v>
      </c>
      <c r="H242">
        <v>112992.82878</v>
      </c>
      <c r="I242">
        <v>121378.3591</v>
      </c>
      <c r="J242">
        <v>127495.50433</v>
      </c>
      <c r="AA242">
        <v>85940932.770999998</v>
      </c>
      <c r="AB242">
        <v>80847169.277999997</v>
      </c>
      <c r="AC242">
        <v>76079945.388999999</v>
      </c>
      <c r="AD242">
        <v>83871755.062000006</v>
      </c>
      <c r="AE242">
        <v>78633837.077000007</v>
      </c>
      <c r="AF242">
        <v>80726683.092999995</v>
      </c>
      <c r="AG242">
        <v>90041923.466000006</v>
      </c>
      <c r="AH242">
        <v>92860796.204999998</v>
      </c>
    </row>
    <row r="243" spans="1:34" x14ac:dyDescent="0.35">
      <c r="A243" t="s">
        <v>270</v>
      </c>
      <c r="B243" t="s">
        <v>455</v>
      </c>
      <c r="C243">
        <v>9812.0868695999998</v>
      </c>
      <c r="D243">
        <v>11684.593261</v>
      </c>
      <c r="E243">
        <v>11851.038295</v>
      </c>
      <c r="F243">
        <v>10962.860272</v>
      </c>
      <c r="G243">
        <v>9750.6346904999991</v>
      </c>
      <c r="H243">
        <v>11004.448802999999</v>
      </c>
      <c r="I243">
        <v>8883.6793500000003</v>
      </c>
      <c r="J243">
        <v>6854.9682333000001</v>
      </c>
      <c r="AA243">
        <v>1914385.5511</v>
      </c>
      <c r="AB243">
        <v>1961506.4302999999</v>
      </c>
      <c r="AC243">
        <v>1923211.2771000001</v>
      </c>
      <c r="AD243">
        <v>1859104.2345</v>
      </c>
      <c r="AE243">
        <v>2035596.4628000001</v>
      </c>
      <c r="AF243">
        <v>1839567.0639</v>
      </c>
      <c r="AG243">
        <v>1947360.3435</v>
      </c>
      <c r="AH243">
        <v>2121245.8530000001</v>
      </c>
    </row>
    <row r="244" spans="1:34" x14ac:dyDescent="0.35">
      <c r="A244" t="s">
        <v>272</v>
      </c>
      <c r="B244" t="s">
        <v>457</v>
      </c>
      <c r="C244">
        <v>1562.4502609000001</v>
      </c>
      <c r="D244">
        <v>1524.3810951999999</v>
      </c>
      <c r="E244">
        <v>1303.8058361000001</v>
      </c>
      <c r="F244">
        <v>1016.7660909</v>
      </c>
      <c r="G244">
        <v>1551.6703333</v>
      </c>
      <c r="H244">
        <v>1831.6881311</v>
      </c>
      <c r="I244">
        <v>2551.3508999999999</v>
      </c>
      <c r="J244">
        <v>7201.8285833</v>
      </c>
      <c r="AA244">
        <v>1187425.9878</v>
      </c>
      <c r="AB244">
        <v>945915.61739999999</v>
      </c>
      <c r="AC244">
        <v>823299.57247999997</v>
      </c>
      <c r="AD244">
        <v>769838.56128000002</v>
      </c>
      <c r="AE244">
        <v>756473.30848000001</v>
      </c>
      <c r="AF244">
        <v>895471.93759999995</v>
      </c>
      <c r="AG244">
        <v>1023778.3644</v>
      </c>
      <c r="AH244">
        <v>1269699.0160000001</v>
      </c>
    </row>
    <row r="245" spans="1:34" x14ac:dyDescent="0.35">
      <c r="A245" t="s">
        <v>276</v>
      </c>
      <c r="B245" t="s">
        <v>461</v>
      </c>
      <c r="C245">
        <v>7647.3027390999996</v>
      </c>
      <c r="D245">
        <v>10249.869618999999</v>
      </c>
      <c r="E245">
        <v>10803.376541</v>
      </c>
      <c r="F245">
        <v>14270.890545</v>
      </c>
      <c r="G245">
        <v>11669.242452</v>
      </c>
      <c r="H245">
        <v>11922.777244999999</v>
      </c>
      <c r="I245">
        <v>11677.311900000001</v>
      </c>
      <c r="J245">
        <v>23912.938767</v>
      </c>
      <c r="AA245">
        <v>4469524</v>
      </c>
      <c r="AB245">
        <v>4450470</v>
      </c>
      <c r="AC245">
        <v>4217155.97</v>
      </c>
      <c r="AD245">
        <v>4643487.9000000004</v>
      </c>
      <c r="AE245">
        <v>4287758.71</v>
      </c>
      <c r="AF245">
        <v>4292338.5999999996</v>
      </c>
      <c r="AG245">
        <v>4564005.5999999996</v>
      </c>
      <c r="AH245">
        <v>5514840.0999999996</v>
      </c>
    </row>
    <row r="246" spans="1:34" x14ac:dyDescent="0.35">
      <c r="A246" t="s">
        <v>275</v>
      </c>
      <c r="B246" t="s">
        <v>460</v>
      </c>
      <c r="C246">
        <v>4532.3823043000002</v>
      </c>
      <c r="D246">
        <v>6191.1192142999998</v>
      </c>
      <c r="E246">
        <v>5470.1873933999996</v>
      </c>
      <c r="F246">
        <v>4684.7575454999997</v>
      </c>
      <c r="G246">
        <v>3738.1495713999998</v>
      </c>
      <c r="H246">
        <v>3237.8454262</v>
      </c>
      <c r="I246">
        <v>2172.5059500000002</v>
      </c>
      <c r="J246">
        <v>2142.2240000000002</v>
      </c>
      <c r="AA246">
        <v>653723.19756</v>
      </c>
      <c r="AB246">
        <v>625300.44984000002</v>
      </c>
      <c r="AC246">
        <v>647407.03139999998</v>
      </c>
      <c r="AD246">
        <v>495819.04356000002</v>
      </c>
      <c r="AE246">
        <v>420025.04963999998</v>
      </c>
      <c r="AF246">
        <v>435815.46503999998</v>
      </c>
      <c r="AG246">
        <v>363179.55420000001</v>
      </c>
      <c r="AH246">
        <v>432657.38196000003</v>
      </c>
    </row>
    <row r="247" spans="1:34" x14ac:dyDescent="0.35">
      <c r="A247" t="s">
        <v>278</v>
      </c>
      <c r="B247" t="s">
        <v>462</v>
      </c>
      <c r="C247">
        <v>337703.48904000001</v>
      </c>
      <c r="D247">
        <v>340146.00728999998</v>
      </c>
      <c r="E247">
        <v>355166.34905000002</v>
      </c>
      <c r="F247">
        <v>337142.83536000003</v>
      </c>
      <c r="G247">
        <v>371033.71030999999</v>
      </c>
      <c r="H247">
        <v>356093.22897</v>
      </c>
      <c r="I247">
        <v>398342.87105000002</v>
      </c>
      <c r="J247">
        <v>420839.94965000002</v>
      </c>
      <c r="AA247">
        <v>227019066.22999999</v>
      </c>
      <c r="AB247">
        <v>226305829.47</v>
      </c>
      <c r="AC247">
        <v>221398507.44</v>
      </c>
      <c r="AD247">
        <v>235831156.02000001</v>
      </c>
      <c r="AE247">
        <v>203147919.84</v>
      </c>
      <c r="AF247">
        <v>189980054.74000001</v>
      </c>
      <c r="AG247">
        <v>187294824.28</v>
      </c>
      <c r="AH247">
        <v>177686734.06</v>
      </c>
    </row>
    <row r="248" spans="1:34" x14ac:dyDescent="0.35">
      <c r="A248" t="s">
        <v>280</v>
      </c>
      <c r="B248" t="s">
        <v>464</v>
      </c>
      <c r="C248">
        <v>1981.7028261</v>
      </c>
      <c r="D248">
        <v>2604.1345000000001</v>
      </c>
      <c r="E248">
        <v>2709.2415738</v>
      </c>
      <c r="F248">
        <v>2999.2424544999999</v>
      </c>
      <c r="G248">
        <v>2507.3152381</v>
      </c>
      <c r="H248">
        <v>2555.7474097999998</v>
      </c>
      <c r="I248">
        <v>2007.90075</v>
      </c>
      <c r="J248">
        <v>3215.0976000000001</v>
      </c>
      <c r="AA248">
        <v>929061.30842000002</v>
      </c>
      <c r="AB248">
        <v>930660.38124000002</v>
      </c>
      <c r="AC248">
        <v>890683.56073999999</v>
      </c>
      <c r="AD248">
        <v>962641.83764000004</v>
      </c>
      <c r="AE248">
        <v>964240.91046000004</v>
      </c>
      <c r="AF248">
        <v>962641.83764000004</v>
      </c>
      <c r="AG248">
        <v>954646.47354000004</v>
      </c>
      <c r="AH248">
        <v>1149733.3576</v>
      </c>
    </row>
    <row r="249" spans="1:34" x14ac:dyDescent="0.35">
      <c r="A249" t="s">
        <v>281</v>
      </c>
      <c r="B249" t="s">
        <v>465</v>
      </c>
      <c r="C249">
        <v>16.818391303999999</v>
      </c>
      <c r="D249">
        <v>24.422452380999999</v>
      </c>
      <c r="E249">
        <v>33.908688525000002</v>
      </c>
      <c r="F249">
        <v>19.493681817999999</v>
      </c>
      <c r="G249">
        <v>19.167404762</v>
      </c>
      <c r="H249">
        <v>26.241524590000001</v>
      </c>
      <c r="I249">
        <v>42.808300000000003</v>
      </c>
      <c r="J249">
        <v>35.006399999999999</v>
      </c>
      <c r="AA249">
        <v>1062569.8899999999</v>
      </c>
      <c r="AB249">
        <v>1035979.667</v>
      </c>
      <c r="AC249">
        <v>1007098.317</v>
      </c>
      <c r="AD249">
        <v>998578.23770000006</v>
      </c>
      <c r="AE249">
        <v>1042131.1365</v>
      </c>
      <c r="AF249">
        <v>1124849.1562999999</v>
      </c>
      <c r="AG249">
        <v>1087683.6507000001</v>
      </c>
      <c r="AH249">
        <v>1002922.7897</v>
      </c>
    </row>
    <row r="250" spans="1:34" x14ac:dyDescent="0.35">
      <c r="A250" t="s">
        <v>91</v>
      </c>
      <c r="B250" t="s">
        <v>45</v>
      </c>
      <c r="C250">
        <v>50127.545042999998</v>
      </c>
      <c r="D250">
        <v>49284.318071000002</v>
      </c>
      <c r="E250">
        <v>47251.009278999998</v>
      </c>
      <c r="F250">
        <v>46553.699409000001</v>
      </c>
      <c r="G250">
        <v>49980.361190000003</v>
      </c>
      <c r="H250">
        <v>54084.164295000002</v>
      </c>
      <c r="I250">
        <v>73742.257800000007</v>
      </c>
      <c r="J250">
        <v>45768.767982999998</v>
      </c>
      <c r="AA250">
        <v>3022481.31</v>
      </c>
      <c r="AB250">
        <v>2635056.75</v>
      </c>
      <c r="AC250">
        <v>2374488.9</v>
      </c>
      <c r="AD250">
        <v>2877158.48</v>
      </c>
      <c r="AE250">
        <v>2888267.2</v>
      </c>
      <c r="AF250">
        <v>3024553.22</v>
      </c>
      <c r="AG250">
        <v>3745308.97</v>
      </c>
      <c r="AH250">
        <v>4154174.05</v>
      </c>
    </row>
    <row r="251" spans="1:34" x14ac:dyDescent="0.35">
      <c r="A251" t="s">
        <v>282</v>
      </c>
      <c r="B251" t="s">
        <v>466</v>
      </c>
      <c r="C251">
        <v>1111.9369565</v>
      </c>
      <c r="D251">
        <v>1695.0987619</v>
      </c>
      <c r="E251">
        <v>1794.5586721</v>
      </c>
      <c r="F251">
        <v>1940.0341817999999</v>
      </c>
      <c r="G251">
        <v>1953.2296429</v>
      </c>
      <c r="H251">
        <v>2429.1093279000002</v>
      </c>
      <c r="I251">
        <v>2092.7858000000001</v>
      </c>
      <c r="J251">
        <v>1281.5309</v>
      </c>
      <c r="AA251">
        <v>958997.69039999996</v>
      </c>
      <c r="AB251">
        <v>1194751.2893000001</v>
      </c>
      <c r="AC251">
        <v>901539.66682000004</v>
      </c>
      <c r="AD251">
        <v>1224657.8659999999</v>
      </c>
      <c r="AE251">
        <v>1061104.2095999999</v>
      </c>
      <c r="AF251">
        <v>1180783.6758000001</v>
      </c>
      <c r="AG251">
        <v>1252588.0885999999</v>
      </c>
      <c r="AH251">
        <v>1368272.9757000001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8D94F-567D-458B-BFA2-3C7DCB561099}">
  <dimension ref="A1:H253"/>
  <sheetViews>
    <sheetView workbookViewId="0">
      <selection activeCell="H2" sqref="H2"/>
    </sheetView>
  </sheetViews>
  <sheetFormatPr defaultRowHeight="14.5" x14ac:dyDescent="0.35"/>
  <cols>
    <col min="2" max="4" width="11.81640625" bestFit="1" customWidth="1"/>
    <col min="5" max="8" width="10.08984375" bestFit="1" customWidth="1"/>
  </cols>
  <sheetData>
    <row r="1" spans="1:8" x14ac:dyDescent="0.35">
      <c r="B1" s="2">
        <v>45596</v>
      </c>
      <c r="C1" s="2">
        <v>45626</v>
      </c>
      <c r="D1" s="2">
        <v>45657</v>
      </c>
      <c r="E1" s="2">
        <v>45688</v>
      </c>
      <c r="F1" s="2">
        <v>45716</v>
      </c>
      <c r="G1" s="2">
        <v>45747</v>
      </c>
      <c r="H1" s="2">
        <v>45777</v>
      </c>
    </row>
    <row r="2" spans="1:8" x14ac:dyDescent="0.35">
      <c r="A2" s="1" t="s">
        <v>46</v>
      </c>
      <c r="B2">
        <v>5022788.6760999998</v>
      </c>
      <c r="C2">
        <v>4857123.0839999998</v>
      </c>
      <c r="D2">
        <v>4640113.7710999995</v>
      </c>
      <c r="E2">
        <v>4878006.7090999996</v>
      </c>
      <c r="F2">
        <v>4738635.0888</v>
      </c>
      <c r="G2">
        <v>4929184.1025</v>
      </c>
      <c r="H2">
        <v>5217721.7084999997</v>
      </c>
    </row>
    <row r="3" spans="1:8" x14ac:dyDescent="0.35">
      <c r="A3" t="s">
        <v>99</v>
      </c>
      <c r="B3">
        <v>198804132</v>
      </c>
      <c r="C3">
        <v>200219667.75</v>
      </c>
      <c r="D3">
        <v>184644959</v>
      </c>
      <c r="E3">
        <v>174736413.5</v>
      </c>
      <c r="F3">
        <v>192194327</v>
      </c>
      <c r="G3">
        <v>211236727.5</v>
      </c>
      <c r="H3">
        <v>227979194.05000001</v>
      </c>
    </row>
    <row r="4" spans="1:8" x14ac:dyDescent="0.35">
      <c r="A4" t="s">
        <v>93</v>
      </c>
      <c r="B4">
        <v>380579.48361</v>
      </c>
      <c r="C4">
        <v>325423.03671000001</v>
      </c>
      <c r="D4">
        <v>350005.24190000002</v>
      </c>
      <c r="E4">
        <v>402720.5673</v>
      </c>
      <c r="F4">
        <v>260511.7825</v>
      </c>
      <c r="G4">
        <v>233177.21119999999</v>
      </c>
      <c r="H4">
        <v>271835.53831999999</v>
      </c>
    </row>
    <row r="5" spans="1:8" x14ac:dyDescent="0.35">
      <c r="A5" t="s">
        <v>469</v>
      </c>
      <c r="B5">
        <v>4898842.9210000001</v>
      </c>
      <c r="C5">
        <v>6091252.5553000001</v>
      </c>
    </row>
    <row r="6" spans="1:8" x14ac:dyDescent="0.35">
      <c r="A6" t="s">
        <v>113</v>
      </c>
      <c r="B6">
        <v>2418195.1061999998</v>
      </c>
      <c r="C6">
        <v>2424356.1127999998</v>
      </c>
      <c r="D6">
        <v>2271357.7812999999</v>
      </c>
      <c r="E6">
        <v>2366853.3842000002</v>
      </c>
      <c r="F6">
        <v>2132735.1318999999</v>
      </c>
      <c r="G6">
        <v>2244336.2461999999</v>
      </c>
      <c r="H6">
        <v>2109855.3793000001</v>
      </c>
    </row>
    <row r="7" spans="1:8" x14ac:dyDescent="0.35">
      <c r="A7" t="s">
        <v>47</v>
      </c>
      <c r="B7">
        <v>11628549.916999999</v>
      </c>
      <c r="C7">
        <v>10351091.676000001</v>
      </c>
      <c r="D7">
        <v>9176452.1976999994</v>
      </c>
      <c r="E7">
        <v>9774365.7037000004</v>
      </c>
      <c r="F7">
        <v>9166318.0704999994</v>
      </c>
      <c r="G7">
        <v>9579461.0939000007</v>
      </c>
      <c r="H7">
        <v>10646071.241</v>
      </c>
    </row>
    <row r="8" spans="1:8" x14ac:dyDescent="0.35">
      <c r="A8" t="s">
        <v>94</v>
      </c>
      <c r="B8">
        <v>4557961.6205000002</v>
      </c>
      <c r="C8">
        <v>4193552.1153000002</v>
      </c>
      <c r="D8">
        <v>4111966.6570000001</v>
      </c>
      <c r="E8">
        <v>4128968.1063999999</v>
      </c>
      <c r="F8">
        <v>4339516.5467999997</v>
      </c>
      <c r="G8">
        <v>4497527.4967</v>
      </c>
      <c r="H8">
        <v>4856239.0086000003</v>
      </c>
    </row>
    <row r="9" spans="1:8" x14ac:dyDescent="0.35">
      <c r="A9" t="s">
        <v>97</v>
      </c>
      <c r="B9">
        <v>9391793.0550999995</v>
      </c>
      <c r="C9">
        <v>8874224.7503999993</v>
      </c>
      <c r="D9">
        <v>8527102.6722999997</v>
      </c>
      <c r="E9">
        <v>9142580.3911000006</v>
      </c>
      <c r="F9">
        <v>8891602.2640000004</v>
      </c>
      <c r="G9">
        <v>9373482.3057000004</v>
      </c>
      <c r="H9">
        <v>10339441.611</v>
      </c>
    </row>
    <row r="10" spans="1:8" x14ac:dyDescent="0.35">
      <c r="A10" t="s">
        <v>100</v>
      </c>
      <c r="B10">
        <v>21598507.067000002</v>
      </c>
      <c r="C10">
        <v>26892062.280000001</v>
      </c>
      <c r="D10">
        <v>21683709.969999999</v>
      </c>
      <c r="E10">
        <v>22497683.083000001</v>
      </c>
      <c r="F10">
        <v>20878076.745999999</v>
      </c>
      <c r="G10">
        <v>20460570.544</v>
      </c>
      <c r="H10">
        <v>20320657.818</v>
      </c>
    </row>
    <row r="11" spans="1:8" x14ac:dyDescent="0.35">
      <c r="A11" t="s">
        <v>101</v>
      </c>
      <c r="B11">
        <v>740894.78949999996</v>
      </c>
      <c r="C11">
        <v>1655999.9754999999</v>
      </c>
      <c r="D11">
        <v>1241513.9036000001</v>
      </c>
      <c r="E11">
        <v>1301587.1569999999</v>
      </c>
      <c r="F11">
        <v>1085323.4447999999</v>
      </c>
      <c r="G11">
        <v>1141392.1509</v>
      </c>
      <c r="H11">
        <v>1133382.3814000001</v>
      </c>
    </row>
    <row r="12" spans="1:8" x14ac:dyDescent="0.35">
      <c r="A12" t="s">
        <v>104</v>
      </c>
      <c r="D12">
        <v>644062.96967999998</v>
      </c>
      <c r="E12">
        <v>587233.88411999994</v>
      </c>
      <c r="F12">
        <v>473575.71299999999</v>
      </c>
      <c r="G12">
        <v>473575.71299999999</v>
      </c>
      <c r="H12">
        <v>511461.77003999997</v>
      </c>
    </row>
    <row r="13" spans="1:8" x14ac:dyDescent="0.35">
      <c r="A13" t="s">
        <v>48</v>
      </c>
      <c r="B13">
        <v>963142.75710000005</v>
      </c>
      <c r="C13">
        <v>808284.50988000003</v>
      </c>
      <c r="D13">
        <v>596770.80636000005</v>
      </c>
      <c r="E13">
        <v>793176.38820000004</v>
      </c>
      <c r="F13">
        <v>638318.14098000003</v>
      </c>
      <c r="G13">
        <v>868716.99659999995</v>
      </c>
      <c r="H13">
        <v>1204872.7039999999</v>
      </c>
    </row>
    <row r="14" spans="1:8" x14ac:dyDescent="0.35">
      <c r="A14" t="s">
        <v>102</v>
      </c>
      <c r="B14">
        <v>2585729.2949999999</v>
      </c>
      <c r="C14">
        <v>2319194.9500000002</v>
      </c>
      <c r="D14">
        <v>1741389.2845999999</v>
      </c>
      <c r="E14">
        <v>1727541.2585</v>
      </c>
      <c r="F14">
        <v>1526744.8796999999</v>
      </c>
      <c r="G14">
        <v>1305261.1209</v>
      </c>
      <c r="H14">
        <v>1516457.2174</v>
      </c>
    </row>
    <row r="15" spans="1:8" x14ac:dyDescent="0.35">
      <c r="A15" t="s">
        <v>103</v>
      </c>
      <c r="B15">
        <v>10127154.1</v>
      </c>
      <c r="C15">
        <v>8923794</v>
      </c>
      <c r="D15">
        <v>7591580.0926000001</v>
      </c>
      <c r="E15">
        <v>9223163.0254999995</v>
      </c>
      <c r="F15">
        <v>8993932.3654999994</v>
      </c>
      <c r="G15">
        <v>10167275.300000001</v>
      </c>
      <c r="H15">
        <v>12392209.550000001</v>
      </c>
    </row>
    <row r="16" spans="1:8" x14ac:dyDescent="0.35">
      <c r="A16" t="s">
        <v>49</v>
      </c>
      <c r="B16">
        <v>10250000</v>
      </c>
      <c r="C16">
        <v>10356726.823000001</v>
      </c>
      <c r="D16">
        <v>9164457.0600000005</v>
      </c>
      <c r="E16">
        <v>8485221.3599999994</v>
      </c>
      <c r="F16">
        <v>8140378.6200000001</v>
      </c>
      <c r="G16">
        <v>7774636.3200000003</v>
      </c>
      <c r="H16">
        <v>9331653.5399999991</v>
      </c>
    </row>
    <row r="17" spans="1:8" x14ac:dyDescent="0.35">
      <c r="A17" t="s">
        <v>96</v>
      </c>
      <c r="B17">
        <v>578176.10736000002</v>
      </c>
      <c r="C17">
        <v>488324.41499999998</v>
      </c>
      <c r="D17">
        <v>531296.96351999999</v>
      </c>
      <c r="E17">
        <v>435585.37818</v>
      </c>
      <c r="F17">
        <v>398472.72263999999</v>
      </c>
      <c r="G17">
        <v>404332.61562</v>
      </c>
      <c r="H17">
        <v>394566.12732000003</v>
      </c>
    </row>
    <row r="18" spans="1:8" x14ac:dyDescent="0.35">
      <c r="A18" t="s">
        <v>105</v>
      </c>
      <c r="B18">
        <v>230501.73764000001</v>
      </c>
      <c r="C18">
        <v>181105.36989</v>
      </c>
      <c r="D18">
        <v>185730.34273999999</v>
      </c>
      <c r="E18">
        <v>229872.40979000001</v>
      </c>
      <c r="F18">
        <v>687462.52122</v>
      </c>
      <c r="G18">
        <v>590338.52943</v>
      </c>
      <c r="H18">
        <v>428407.04745000001</v>
      </c>
    </row>
    <row r="19" spans="1:8" x14ac:dyDescent="0.35">
      <c r="A19" t="s">
        <v>106</v>
      </c>
      <c r="B19">
        <v>1975222.0845999999</v>
      </c>
      <c r="C19">
        <v>1714409.3093000001</v>
      </c>
      <c r="D19">
        <v>1231036.2992</v>
      </c>
      <c r="E19">
        <v>1599651.6882</v>
      </c>
      <c r="F19">
        <v>1347290.1745</v>
      </c>
      <c r="G19">
        <v>1461243.5774000001</v>
      </c>
      <c r="H19">
        <v>652896.06648000004</v>
      </c>
    </row>
    <row r="20" spans="1:8" x14ac:dyDescent="0.35">
      <c r="A20" t="s">
        <v>107</v>
      </c>
      <c r="B20">
        <v>8514705.5958999991</v>
      </c>
      <c r="C20">
        <v>7575280.0269999998</v>
      </c>
      <c r="D20">
        <v>6107353.9665999999</v>
      </c>
      <c r="E20">
        <v>7160346.0297999997</v>
      </c>
      <c r="F20">
        <v>5368194.8320000004</v>
      </c>
      <c r="G20">
        <v>5058491.284</v>
      </c>
      <c r="H20">
        <v>6573973.9789000005</v>
      </c>
    </row>
    <row r="21" spans="1:8" x14ac:dyDescent="0.35">
      <c r="A21" t="s">
        <v>98</v>
      </c>
      <c r="B21">
        <v>5119805.9089000002</v>
      </c>
      <c r="C21">
        <v>4748139.2805000003</v>
      </c>
      <c r="D21">
        <v>4818212.1743000001</v>
      </c>
      <c r="E21">
        <v>5044687.7669000002</v>
      </c>
      <c r="F21">
        <v>4982463.0372000001</v>
      </c>
      <c r="G21">
        <v>4905102.5625</v>
      </c>
      <c r="H21">
        <v>4989190.0350000001</v>
      </c>
    </row>
    <row r="22" spans="1:8" x14ac:dyDescent="0.35">
      <c r="A22" t="s">
        <v>55</v>
      </c>
      <c r="B22">
        <v>150290534.30000001</v>
      </c>
      <c r="C22">
        <v>141386119.81</v>
      </c>
      <c r="D22">
        <v>137963507.40000001</v>
      </c>
      <c r="E22">
        <v>157770432.13</v>
      </c>
      <c r="F22">
        <v>155886776.46000001</v>
      </c>
      <c r="G22">
        <v>160921589.19</v>
      </c>
      <c r="H22">
        <v>165145852.27000001</v>
      </c>
    </row>
    <row r="23" spans="1:8" x14ac:dyDescent="0.35">
      <c r="A23" t="s">
        <v>111</v>
      </c>
      <c r="B23">
        <v>143779299.87</v>
      </c>
      <c r="C23">
        <v>126011813.45999999</v>
      </c>
      <c r="D23">
        <v>114645738.97</v>
      </c>
      <c r="E23">
        <v>122863329.62</v>
      </c>
      <c r="F23">
        <v>114413649.59</v>
      </c>
      <c r="G23">
        <v>127019532.95999999</v>
      </c>
      <c r="H23">
        <v>137277818.97</v>
      </c>
    </row>
    <row r="24" spans="1:8" x14ac:dyDescent="0.35">
      <c r="A24" t="s">
        <v>54</v>
      </c>
      <c r="B24">
        <v>143779299.87</v>
      </c>
      <c r="C24">
        <v>126011813.45999999</v>
      </c>
      <c r="D24">
        <v>114645738.97</v>
      </c>
      <c r="E24">
        <v>122863329.62</v>
      </c>
      <c r="F24">
        <v>114413649.59</v>
      </c>
      <c r="G24">
        <v>127019532.95999999</v>
      </c>
      <c r="H24">
        <v>137277818.97</v>
      </c>
    </row>
    <row r="25" spans="1:8" x14ac:dyDescent="0.35">
      <c r="A25" t="s">
        <v>51</v>
      </c>
      <c r="B25">
        <v>66524444.870999999</v>
      </c>
      <c r="C25">
        <v>65087967.217</v>
      </c>
      <c r="D25">
        <v>70232110.167999998</v>
      </c>
      <c r="E25">
        <v>74910368.473000005</v>
      </c>
      <c r="F25">
        <v>73454478.959000006</v>
      </c>
      <c r="G25">
        <v>78230960.833000004</v>
      </c>
      <c r="H25">
        <v>83025761.658000007</v>
      </c>
    </row>
    <row r="26" spans="1:8" x14ac:dyDescent="0.35">
      <c r="A26" t="s">
        <v>210</v>
      </c>
      <c r="B26">
        <v>3412290.5447999998</v>
      </c>
      <c r="C26">
        <v>3441706.8426000001</v>
      </c>
      <c r="D26">
        <v>2994579.1159999999</v>
      </c>
      <c r="E26">
        <v>2906330.2226</v>
      </c>
      <c r="F26">
        <v>2600400.7255000002</v>
      </c>
      <c r="G26">
        <v>3718220.0419000001</v>
      </c>
      <c r="H26">
        <v>3589044.9371000002</v>
      </c>
    </row>
    <row r="27" spans="1:8" x14ac:dyDescent="0.35">
      <c r="A27" t="s">
        <v>122</v>
      </c>
      <c r="B27">
        <v>391684.28</v>
      </c>
      <c r="C27">
        <v>353656.68</v>
      </c>
      <c r="D27">
        <v>274758.08</v>
      </c>
      <c r="E27">
        <v>331801.28000000003</v>
      </c>
      <c r="F27">
        <v>251940.8</v>
      </c>
      <c r="G27">
        <v>854697.28</v>
      </c>
      <c r="H27">
        <v>517191.67999999999</v>
      </c>
    </row>
    <row r="28" spans="1:8" x14ac:dyDescent="0.35">
      <c r="A28" t="s">
        <v>109</v>
      </c>
      <c r="B28">
        <v>2665211.085</v>
      </c>
      <c r="C28">
        <v>2379145.0951999999</v>
      </c>
      <c r="D28">
        <v>2336501.7178000002</v>
      </c>
      <c r="E28">
        <v>2370261.0583000001</v>
      </c>
      <c r="F28">
        <v>2206794.7784000002</v>
      </c>
      <c r="G28">
        <v>2260099.0000999998</v>
      </c>
      <c r="H28">
        <v>2293858.3404999999</v>
      </c>
    </row>
    <row r="29" spans="1:8" x14ac:dyDescent="0.35">
      <c r="A29" t="s">
        <v>207</v>
      </c>
      <c r="B29">
        <v>4081776.23</v>
      </c>
      <c r="C29">
        <v>4073045.7</v>
      </c>
      <c r="D29">
        <v>3546793.32</v>
      </c>
      <c r="E29">
        <v>3503250.44</v>
      </c>
      <c r="F29">
        <v>3723037.77</v>
      </c>
      <c r="G29">
        <v>3533225.3</v>
      </c>
      <c r="H29">
        <v>3342136.56</v>
      </c>
    </row>
    <row r="30" spans="1:8" x14ac:dyDescent="0.35">
      <c r="A30" t="s">
        <v>52</v>
      </c>
      <c r="B30">
        <v>1319927.2046000001</v>
      </c>
      <c r="C30">
        <v>1241176.6839999999</v>
      </c>
      <c r="D30">
        <v>1162561.9634</v>
      </c>
      <c r="E30">
        <v>1194237.0684</v>
      </c>
      <c r="F30">
        <v>1241321.6839999999</v>
      </c>
      <c r="G30">
        <v>1444290.4055999999</v>
      </c>
      <c r="H30">
        <v>1592509.1294</v>
      </c>
    </row>
    <row r="31" spans="1:8" x14ac:dyDescent="0.35">
      <c r="A31" t="s">
        <v>470</v>
      </c>
    </row>
    <row r="32" spans="1:8" x14ac:dyDescent="0.35">
      <c r="A32" t="s">
        <v>57</v>
      </c>
      <c r="B32">
        <v>148553695.03</v>
      </c>
      <c r="C32">
        <v>143103157.63999999</v>
      </c>
      <c r="D32">
        <v>133565749.61</v>
      </c>
      <c r="E32">
        <v>148430508.69</v>
      </c>
      <c r="F32">
        <v>154611937.99000001</v>
      </c>
      <c r="G32">
        <v>164815231.84999999</v>
      </c>
      <c r="H32">
        <v>200014030.94</v>
      </c>
    </row>
    <row r="33" spans="1:8" x14ac:dyDescent="0.35">
      <c r="A33" t="s">
        <v>118</v>
      </c>
      <c r="B33">
        <v>148553695.03</v>
      </c>
      <c r="C33">
        <v>143103157.63999999</v>
      </c>
      <c r="D33">
        <v>133565749.61</v>
      </c>
      <c r="E33">
        <v>148430508.69</v>
      </c>
      <c r="F33">
        <v>154611937.99000001</v>
      </c>
      <c r="G33">
        <v>164815231.84999999</v>
      </c>
      <c r="H33">
        <v>200014030.94</v>
      </c>
    </row>
    <row r="34" spans="1:8" x14ac:dyDescent="0.35">
      <c r="A34" t="s">
        <v>108</v>
      </c>
      <c r="B34">
        <v>10629843.062000001</v>
      </c>
      <c r="C34">
        <v>8941573.8697999995</v>
      </c>
      <c r="D34">
        <v>7928612.3545000004</v>
      </c>
      <c r="E34">
        <v>8741482.7062999997</v>
      </c>
      <c r="F34">
        <v>8854033.9857999999</v>
      </c>
      <c r="G34">
        <v>9116653.6379000004</v>
      </c>
      <c r="H34">
        <v>9516835.9649</v>
      </c>
    </row>
    <row r="35" spans="1:8" x14ac:dyDescent="0.35">
      <c r="A35" t="s">
        <v>112</v>
      </c>
      <c r="B35">
        <v>7527239.0800000001</v>
      </c>
      <c r="C35">
        <v>7040135.0499999998</v>
      </c>
      <c r="D35">
        <v>6404396.46</v>
      </c>
      <c r="E35">
        <v>6464706.0099999998</v>
      </c>
      <c r="F35">
        <v>6380520.7000000002</v>
      </c>
      <c r="G35">
        <v>6884438.5700000003</v>
      </c>
      <c r="H35">
        <v>6244189.1299999999</v>
      </c>
    </row>
    <row r="36" spans="1:8" x14ac:dyDescent="0.35">
      <c r="A36" t="s">
        <v>56</v>
      </c>
      <c r="B36">
        <v>7881521.0548</v>
      </c>
      <c r="C36">
        <v>9227599.4445999991</v>
      </c>
      <c r="D36">
        <v>10917159.905999999</v>
      </c>
      <c r="E36">
        <v>10332312.054</v>
      </c>
      <c r="F36">
        <v>8359610.9655999998</v>
      </c>
      <c r="G36">
        <v>10722249.522</v>
      </c>
      <c r="H36">
        <v>8057932.9746000003</v>
      </c>
    </row>
    <row r="37" spans="1:8" x14ac:dyDescent="0.35">
      <c r="A37" t="s">
        <v>53</v>
      </c>
      <c r="B37">
        <v>1568635.8178000001</v>
      </c>
      <c r="C37">
        <v>1594884.7438000001</v>
      </c>
      <c r="D37">
        <v>1379643.5506</v>
      </c>
      <c r="E37">
        <v>1411142.2618</v>
      </c>
      <c r="F37">
        <v>1356544.4957000001</v>
      </c>
      <c r="G37">
        <v>1420591.8751000001</v>
      </c>
      <c r="H37">
        <v>1543436.8488</v>
      </c>
    </row>
    <row r="38" spans="1:8" x14ac:dyDescent="0.35">
      <c r="A38" t="s">
        <v>116</v>
      </c>
      <c r="B38">
        <v>42969106.638999999</v>
      </c>
      <c r="C38">
        <v>40642910.244999997</v>
      </c>
      <c r="D38">
        <v>41104605.741999999</v>
      </c>
      <c r="E38">
        <v>35658569.649999999</v>
      </c>
      <c r="F38">
        <v>29061734.265000001</v>
      </c>
      <c r="G38">
        <v>31484065.476</v>
      </c>
      <c r="H38">
        <v>36315461.703000002</v>
      </c>
    </row>
    <row r="39" spans="1:8" x14ac:dyDescent="0.35">
      <c r="A39" t="s">
        <v>471</v>
      </c>
      <c r="B39">
        <v>1381809.2396</v>
      </c>
      <c r="C39">
        <v>1372894.3413</v>
      </c>
      <c r="D39">
        <v>1363979.443</v>
      </c>
    </row>
    <row r="40" spans="1:8" x14ac:dyDescent="0.35">
      <c r="A40" t="s">
        <v>114</v>
      </c>
      <c r="B40">
        <v>13766436.192</v>
      </c>
      <c r="C40">
        <v>12072553.609999999</v>
      </c>
      <c r="D40">
        <v>9464257.3184999991</v>
      </c>
      <c r="E40">
        <v>11023724.173</v>
      </c>
      <c r="F40">
        <v>8694074.7524999995</v>
      </c>
      <c r="G40">
        <v>8909302.8620999996</v>
      </c>
      <c r="H40">
        <v>8563367.9306000005</v>
      </c>
    </row>
    <row r="41" spans="1:8" x14ac:dyDescent="0.35">
      <c r="A41" t="s">
        <v>115</v>
      </c>
      <c r="B41">
        <v>13766436.192</v>
      </c>
      <c r="C41">
        <v>12072553.609999999</v>
      </c>
      <c r="D41">
        <v>9464257.3184999991</v>
      </c>
      <c r="E41">
        <v>11023724.173</v>
      </c>
      <c r="F41">
        <v>8694074.7524999995</v>
      </c>
      <c r="G41">
        <v>8909302.8620999996</v>
      </c>
      <c r="H41">
        <v>8563367.9306000005</v>
      </c>
    </row>
    <row r="42" spans="1:8" x14ac:dyDescent="0.35">
      <c r="A42" t="s">
        <v>50</v>
      </c>
      <c r="B42">
        <v>4864975.8262</v>
      </c>
      <c r="C42">
        <v>4599674.3043999998</v>
      </c>
      <c r="D42">
        <v>4474961.6542999996</v>
      </c>
      <c r="E42">
        <v>4610223.6327999998</v>
      </c>
      <c r="F42">
        <v>4708434.4165000003</v>
      </c>
      <c r="G42">
        <v>4681260.1982000005</v>
      </c>
      <c r="H42">
        <v>4868940.2085999995</v>
      </c>
    </row>
    <row r="43" spans="1:8" x14ac:dyDescent="0.35">
      <c r="A43" t="s">
        <v>117</v>
      </c>
      <c r="D43">
        <v>1130059.4454999999</v>
      </c>
      <c r="E43">
        <v>1138819.5962</v>
      </c>
      <c r="F43">
        <v>1151959.8223000001</v>
      </c>
      <c r="G43">
        <v>1178240.2745000001</v>
      </c>
      <c r="H43">
        <v>1217660.9528999999</v>
      </c>
    </row>
    <row r="44" spans="1:8" x14ac:dyDescent="0.35">
      <c r="A44" t="s">
        <v>120</v>
      </c>
      <c r="B44">
        <v>517976.09801000002</v>
      </c>
      <c r="C44">
        <v>444278.60953000002</v>
      </c>
      <c r="D44">
        <v>438897.12076999998</v>
      </c>
      <c r="E44">
        <v>484502.25533999997</v>
      </c>
      <c r="F44">
        <v>430947.60190000001</v>
      </c>
      <c r="G44">
        <v>417558.93854</v>
      </c>
      <c r="H44">
        <v>397475.94349999999</v>
      </c>
    </row>
    <row r="45" spans="1:8" x14ac:dyDescent="0.35">
      <c r="A45" t="s">
        <v>121</v>
      </c>
      <c r="B45">
        <v>2694462.7327999999</v>
      </c>
      <c r="C45">
        <v>2442070.0211</v>
      </c>
      <c r="D45">
        <v>1995266.7072000001</v>
      </c>
      <c r="E45">
        <v>1661016.8998</v>
      </c>
      <c r="F45">
        <v>1210802.8736</v>
      </c>
      <c r="G45">
        <v>1313124.2431999999</v>
      </c>
      <c r="H45">
        <v>1487070.5715000001</v>
      </c>
    </row>
    <row r="46" spans="1:8" x14ac:dyDescent="0.35">
      <c r="A46" t="s">
        <v>205</v>
      </c>
      <c r="B46">
        <v>298118.88630000001</v>
      </c>
      <c r="C46">
        <v>279813.34065000003</v>
      </c>
      <c r="D46">
        <v>239715.47875000001</v>
      </c>
      <c r="E46">
        <v>278069.95535</v>
      </c>
      <c r="F46">
        <v>280685.03330000001</v>
      </c>
      <c r="G46">
        <v>285058.41102</v>
      </c>
      <c r="H46">
        <v>559655.96291999996</v>
      </c>
    </row>
    <row r="47" spans="1:8" x14ac:dyDescent="0.35">
      <c r="A47" t="s">
        <v>123</v>
      </c>
      <c r="B47">
        <v>3789244.86</v>
      </c>
      <c r="C47">
        <v>4134313.55</v>
      </c>
      <c r="D47">
        <v>3053532.37</v>
      </c>
      <c r="E47">
        <v>3541837.12</v>
      </c>
      <c r="F47">
        <v>3379068.87</v>
      </c>
      <c r="G47">
        <v>3131661.13</v>
      </c>
      <c r="H47">
        <v>2558716.89</v>
      </c>
    </row>
    <row r="48" spans="1:8" x14ac:dyDescent="0.35">
      <c r="A48" t="s">
        <v>472</v>
      </c>
      <c r="B48">
        <v>24720333.204</v>
      </c>
      <c r="C48">
        <v>22258389.816</v>
      </c>
      <c r="D48">
        <v>20442878.52</v>
      </c>
      <c r="E48">
        <v>23056029.166999999</v>
      </c>
      <c r="F48">
        <v>23518355.818999998</v>
      </c>
      <c r="G48">
        <v>23397748.866</v>
      </c>
      <c r="H48">
        <v>27036058.613000002</v>
      </c>
    </row>
    <row r="49" spans="1:8" x14ac:dyDescent="0.35">
      <c r="A49" t="s">
        <v>124</v>
      </c>
      <c r="B49">
        <v>3973119.8742999998</v>
      </c>
      <c r="C49">
        <v>3223014.3569</v>
      </c>
      <c r="D49">
        <v>2347198.5835000002</v>
      </c>
      <c r="E49">
        <v>3000516.2787000001</v>
      </c>
      <c r="F49">
        <v>3006608.6974999998</v>
      </c>
      <c r="G49">
        <v>3190854.8480000002</v>
      </c>
      <c r="H49">
        <v>3999084.56</v>
      </c>
    </row>
    <row r="50" spans="1:8" x14ac:dyDescent="0.35">
      <c r="A50" t="s">
        <v>125</v>
      </c>
      <c r="B50">
        <v>1314951.6551999999</v>
      </c>
      <c r="C50">
        <v>1196466.142</v>
      </c>
      <c r="D50">
        <v>1175578.6416</v>
      </c>
      <c r="E50">
        <v>1234633.2446999999</v>
      </c>
      <c r="F50">
        <v>1250422.4077000001</v>
      </c>
      <c r="G50">
        <v>1356104.7312</v>
      </c>
      <c r="H50">
        <v>1526887.0992999999</v>
      </c>
    </row>
    <row r="51" spans="1:8" x14ac:dyDescent="0.35">
      <c r="A51" t="s">
        <v>126</v>
      </c>
      <c r="B51">
        <v>1314951.6551999999</v>
      </c>
      <c r="C51">
        <v>1196466.142</v>
      </c>
      <c r="D51">
        <v>1175578.6416</v>
      </c>
      <c r="E51">
        <v>1234633.2446999999</v>
      </c>
      <c r="F51">
        <v>1250422.4077000001</v>
      </c>
      <c r="G51">
        <v>1356104.7312</v>
      </c>
      <c r="H51">
        <v>1526887.0992999999</v>
      </c>
    </row>
    <row r="52" spans="1:8" x14ac:dyDescent="0.35">
      <c r="A52" t="s">
        <v>127</v>
      </c>
      <c r="B52">
        <v>1314951.6551999999</v>
      </c>
      <c r="C52">
        <v>1196466.142</v>
      </c>
      <c r="D52">
        <v>1175578.6416</v>
      </c>
      <c r="E52">
        <v>1234633.2446999999</v>
      </c>
      <c r="F52">
        <v>1250422.4077000001</v>
      </c>
      <c r="G52">
        <v>1356104.7312</v>
      </c>
      <c r="H52">
        <v>1526887.0992999999</v>
      </c>
    </row>
    <row r="53" spans="1:8" x14ac:dyDescent="0.35">
      <c r="A53" t="s">
        <v>175</v>
      </c>
      <c r="B53">
        <v>522482.3677</v>
      </c>
      <c r="C53">
        <v>520759.1888</v>
      </c>
      <c r="D53">
        <v>534762.95629999996</v>
      </c>
      <c r="E53">
        <v>542958.31162000005</v>
      </c>
      <c r="F53">
        <v>530817.09065999999</v>
      </c>
      <c r="G53">
        <v>555670.88370000001</v>
      </c>
      <c r="H53">
        <v>564857.69484000001</v>
      </c>
    </row>
    <row r="54" spans="1:8" x14ac:dyDescent="0.35">
      <c r="A54" t="s">
        <v>473</v>
      </c>
      <c r="B54">
        <v>1798452.3942</v>
      </c>
      <c r="C54">
        <v>1834158.3455999999</v>
      </c>
      <c r="D54">
        <v>1849192.4304</v>
      </c>
      <c r="E54">
        <v>1909328.7696</v>
      </c>
      <c r="F54">
        <v>1950672.5027999999</v>
      </c>
      <c r="G54">
        <v>1967585.8481999999</v>
      </c>
      <c r="H54">
        <v>1975102.8906</v>
      </c>
    </row>
    <row r="55" spans="1:8" x14ac:dyDescent="0.35">
      <c r="A55" t="s">
        <v>128</v>
      </c>
      <c r="B55">
        <v>2982323.24</v>
      </c>
      <c r="C55">
        <v>3074872.6</v>
      </c>
      <c r="D55">
        <v>3048516.6549999998</v>
      </c>
      <c r="E55">
        <v>3028498.76</v>
      </c>
      <c r="F55">
        <v>3015078.96</v>
      </c>
      <c r="G55">
        <v>3000576.8857</v>
      </c>
      <c r="H55">
        <v>3105553.24</v>
      </c>
    </row>
    <row r="56" spans="1:8" x14ac:dyDescent="0.35">
      <c r="A56" t="s">
        <v>129</v>
      </c>
      <c r="B56">
        <v>2982323.24</v>
      </c>
      <c r="C56">
        <v>3074872.6</v>
      </c>
      <c r="D56">
        <v>3048516.6549999998</v>
      </c>
      <c r="E56">
        <v>3028498.76</v>
      </c>
      <c r="F56">
        <v>3015078.96</v>
      </c>
      <c r="G56">
        <v>3000576.8857</v>
      </c>
      <c r="H56">
        <v>3105553.24</v>
      </c>
    </row>
    <row r="57" spans="1:8" x14ac:dyDescent="0.35">
      <c r="A57" t="s">
        <v>130</v>
      </c>
      <c r="B57">
        <v>35529684.619999997</v>
      </c>
      <c r="C57">
        <v>37007582</v>
      </c>
      <c r="D57">
        <v>35145544.060000002</v>
      </c>
      <c r="E57">
        <v>35270865.880000003</v>
      </c>
      <c r="F57">
        <v>35957604.280000001</v>
      </c>
      <c r="G57">
        <v>33679021.380000003</v>
      </c>
      <c r="H57">
        <v>35423571.479999997</v>
      </c>
    </row>
    <row r="58" spans="1:8" x14ac:dyDescent="0.35">
      <c r="A58" t="s">
        <v>141</v>
      </c>
      <c r="B58">
        <v>33732996.581</v>
      </c>
      <c r="C58">
        <v>28681195.160999998</v>
      </c>
      <c r="D58">
        <v>27975029.370999999</v>
      </c>
      <c r="E58">
        <v>30202167.631000001</v>
      </c>
      <c r="F58">
        <v>27703427.144000001</v>
      </c>
      <c r="G58">
        <v>33624355.689999998</v>
      </c>
      <c r="H58">
        <v>33352753.463</v>
      </c>
    </row>
    <row r="59" spans="1:8" x14ac:dyDescent="0.35">
      <c r="A59" t="s">
        <v>131</v>
      </c>
      <c r="B59">
        <v>2174377.7842999999</v>
      </c>
      <c r="C59">
        <v>2210756.1285000001</v>
      </c>
      <c r="D59">
        <v>1999994.4898999999</v>
      </c>
      <c r="E59">
        <v>1927020.2514</v>
      </c>
      <c r="F59">
        <v>2085615.7677</v>
      </c>
      <c r="G59">
        <v>1948210.5325</v>
      </c>
      <c r="H59">
        <v>1881713.5453000001</v>
      </c>
    </row>
    <row r="60" spans="1:8" x14ac:dyDescent="0.35">
      <c r="A60" t="s">
        <v>132</v>
      </c>
      <c r="B60">
        <v>2174377.7842999999</v>
      </c>
      <c r="C60">
        <v>2210756.1285000001</v>
      </c>
      <c r="D60">
        <v>1999994.4898999999</v>
      </c>
      <c r="E60">
        <v>1927020.2514</v>
      </c>
      <c r="F60">
        <v>2085615.7677</v>
      </c>
      <c r="G60">
        <v>1948210.5325</v>
      </c>
      <c r="H60">
        <v>1881713.5453000001</v>
      </c>
    </row>
    <row r="61" spans="1:8" x14ac:dyDescent="0.35">
      <c r="A61" t="s">
        <v>58</v>
      </c>
      <c r="B61">
        <v>2641260.8184000002</v>
      </c>
      <c r="C61">
        <v>2416472.6636999999</v>
      </c>
      <c r="D61">
        <v>2010332.0617</v>
      </c>
      <c r="E61">
        <v>2563634.4640000002</v>
      </c>
      <c r="F61">
        <v>2803398.8382999999</v>
      </c>
      <c r="G61">
        <v>3779311.7500999998</v>
      </c>
      <c r="H61">
        <v>4665370.4857000001</v>
      </c>
    </row>
    <row r="62" spans="1:8" x14ac:dyDescent="0.35">
      <c r="A62" t="s">
        <v>138</v>
      </c>
      <c r="B62">
        <v>37759377.998999998</v>
      </c>
      <c r="C62">
        <v>37586539.832999997</v>
      </c>
      <c r="D62">
        <v>36399717.759999998</v>
      </c>
      <c r="E62">
        <v>39660597.825000003</v>
      </c>
      <c r="F62">
        <v>40421085.755000003</v>
      </c>
      <c r="G62">
        <v>43439992.387999997</v>
      </c>
      <c r="H62">
        <v>44004597.064000003</v>
      </c>
    </row>
    <row r="63" spans="1:8" x14ac:dyDescent="0.35">
      <c r="A63" t="s">
        <v>135</v>
      </c>
      <c r="B63">
        <v>27834712.188000001</v>
      </c>
      <c r="C63">
        <v>27694662.405000001</v>
      </c>
      <c r="D63">
        <v>26062177.212000001</v>
      </c>
      <c r="E63">
        <v>27978635.519000001</v>
      </c>
      <c r="F63">
        <v>28144745.892999999</v>
      </c>
      <c r="G63">
        <v>29565973.978</v>
      </c>
      <c r="H63">
        <v>32822228.579999998</v>
      </c>
    </row>
    <row r="64" spans="1:8" x14ac:dyDescent="0.35">
      <c r="A64" t="s">
        <v>136</v>
      </c>
      <c r="B64">
        <v>27834712.188000001</v>
      </c>
      <c r="C64">
        <v>27694662.405000001</v>
      </c>
      <c r="D64">
        <v>26062177.212000001</v>
      </c>
      <c r="E64">
        <v>27978635.519000001</v>
      </c>
      <c r="F64">
        <v>28144745.892999999</v>
      </c>
      <c r="G64">
        <v>29565973.978</v>
      </c>
      <c r="H64">
        <v>32822228.579999998</v>
      </c>
    </row>
    <row r="65" spans="1:8" x14ac:dyDescent="0.35">
      <c r="A65" t="s">
        <v>474</v>
      </c>
      <c r="B65">
        <v>15796834.765000001</v>
      </c>
      <c r="C65">
        <v>13497962.949999999</v>
      </c>
      <c r="D65">
        <v>11452177.939999999</v>
      </c>
      <c r="E65">
        <v>13244876.145</v>
      </c>
      <c r="F65">
        <v>15290661.153999999</v>
      </c>
      <c r="G65">
        <v>15290661.153999999</v>
      </c>
      <c r="H65">
        <v>18032434.879000001</v>
      </c>
    </row>
    <row r="66" spans="1:8" x14ac:dyDescent="0.35">
      <c r="A66" t="s">
        <v>139</v>
      </c>
      <c r="B66">
        <v>750346.34016999998</v>
      </c>
      <c r="C66">
        <v>649550.32860000001</v>
      </c>
      <c r="D66">
        <v>595250.96865000005</v>
      </c>
      <c r="E66">
        <v>574369.39306000003</v>
      </c>
      <c r="F66">
        <v>555210.76563000004</v>
      </c>
      <c r="G66">
        <v>547937.31562000001</v>
      </c>
      <c r="H66">
        <v>605378.73017999995</v>
      </c>
    </row>
    <row r="67" spans="1:8" x14ac:dyDescent="0.35">
      <c r="A67" t="s">
        <v>140</v>
      </c>
      <c r="B67">
        <v>750346.34016999998</v>
      </c>
      <c r="C67">
        <v>649550.32860000001</v>
      </c>
      <c r="D67">
        <v>595250.96865000005</v>
      </c>
      <c r="E67">
        <v>574369.39306000003</v>
      </c>
      <c r="F67">
        <v>555210.76563000004</v>
      </c>
      <c r="G67">
        <v>547937.31562000001</v>
      </c>
      <c r="H67">
        <v>605378.73017999995</v>
      </c>
    </row>
    <row r="68" spans="1:8" x14ac:dyDescent="0.35">
      <c r="A68" t="s">
        <v>59</v>
      </c>
      <c r="B68">
        <v>22046113.022999998</v>
      </c>
      <c r="C68">
        <v>19005913.002999999</v>
      </c>
      <c r="D68">
        <v>15200635.41</v>
      </c>
      <c r="E68">
        <v>14958468.425000001</v>
      </c>
      <c r="F68">
        <v>13207414.835999999</v>
      </c>
      <c r="G68">
        <v>13735386.49</v>
      </c>
      <c r="H68">
        <v>14441671.586999999</v>
      </c>
    </row>
    <row r="69" spans="1:8" x14ac:dyDescent="0.35">
      <c r="A69" t="s">
        <v>134</v>
      </c>
      <c r="B69">
        <v>8740122.0500000007</v>
      </c>
      <c r="C69">
        <v>9623613.7799999993</v>
      </c>
      <c r="D69">
        <v>7894548.4199999999</v>
      </c>
      <c r="E69">
        <v>8512613.4499999993</v>
      </c>
      <c r="F69">
        <v>8823541.8699999992</v>
      </c>
      <c r="G69">
        <v>7488824.75</v>
      </c>
      <c r="H69">
        <v>8129640.6399999997</v>
      </c>
    </row>
    <row r="70" spans="1:8" x14ac:dyDescent="0.35">
      <c r="A70" t="s">
        <v>252</v>
      </c>
      <c r="B70">
        <v>15608125.755999999</v>
      </c>
      <c r="C70">
        <v>14799208.448000001</v>
      </c>
      <c r="D70">
        <v>11749192.369999999</v>
      </c>
      <c r="E70">
        <v>12266369.009</v>
      </c>
      <c r="F70">
        <v>11298320.427999999</v>
      </c>
      <c r="G70">
        <v>12558109.677999999</v>
      </c>
      <c r="H70">
        <v>12332673.707</v>
      </c>
    </row>
    <row r="71" spans="1:8" x14ac:dyDescent="0.35">
      <c r="A71" t="s">
        <v>142</v>
      </c>
      <c r="B71">
        <v>730673.7</v>
      </c>
      <c r="C71">
        <v>659257.56999999995</v>
      </c>
      <c r="D71">
        <v>635727.4</v>
      </c>
      <c r="E71">
        <v>663798.48</v>
      </c>
      <c r="F71">
        <v>691456.75</v>
      </c>
      <c r="G71">
        <v>694759.23</v>
      </c>
      <c r="H71">
        <v>708794.77</v>
      </c>
    </row>
    <row r="72" spans="1:8" x14ac:dyDescent="0.35">
      <c r="A72" t="s">
        <v>137</v>
      </c>
    </row>
    <row r="73" spans="1:8" x14ac:dyDescent="0.35">
      <c r="A73" t="s">
        <v>143</v>
      </c>
      <c r="B73">
        <v>7084771.9987000003</v>
      </c>
      <c r="C73">
        <v>5960020.9612999996</v>
      </c>
      <c r="D73">
        <v>5061379.6684999997</v>
      </c>
      <c r="E73">
        <v>6203523.7631999999</v>
      </c>
      <c r="F73">
        <v>6148445.7484999998</v>
      </c>
      <c r="G73">
        <v>7116659.2703999998</v>
      </c>
      <c r="H73">
        <v>7986312.1343999999</v>
      </c>
    </row>
    <row r="74" spans="1:8" x14ac:dyDescent="0.35">
      <c r="A74" t="s">
        <v>60</v>
      </c>
      <c r="B74">
        <v>1077444.6805</v>
      </c>
      <c r="C74">
        <v>1261398.6503999999</v>
      </c>
      <c r="D74">
        <v>725304.22398000001</v>
      </c>
      <c r="E74">
        <v>1024886.4034</v>
      </c>
      <c r="F74">
        <v>909258.19383</v>
      </c>
      <c r="G74">
        <v>1112525.9065</v>
      </c>
      <c r="H74">
        <v>1138764.7250999999</v>
      </c>
    </row>
    <row r="75" spans="1:8" x14ac:dyDescent="0.35">
      <c r="A75" t="s">
        <v>119</v>
      </c>
      <c r="B75">
        <v>43200000</v>
      </c>
      <c r="C75">
        <v>43590000</v>
      </c>
      <c r="D75">
        <v>42750000</v>
      </c>
      <c r="E75">
        <v>43950000</v>
      </c>
      <c r="F75">
        <v>45600000</v>
      </c>
      <c r="G75">
        <v>44730000</v>
      </c>
      <c r="H75">
        <v>49080000</v>
      </c>
    </row>
    <row r="76" spans="1:8" x14ac:dyDescent="0.35">
      <c r="A76" t="s">
        <v>144</v>
      </c>
      <c r="B76">
        <v>8150782.54</v>
      </c>
      <c r="C76">
        <v>6898546.4000000004</v>
      </c>
      <c r="D76">
        <v>6212717.4000000004</v>
      </c>
      <c r="E76">
        <v>7469922.1600000001</v>
      </c>
      <c r="F76">
        <v>7605539</v>
      </c>
      <c r="G76">
        <v>8754832.9000000004</v>
      </c>
      <c r="H76">
        <v>9080849.6899999995</v>
      </c>
    </row>
    <row r="77" spans="1:8" x14ac:dyDescent="0.35">
      <c r="A77" t="s">
        <v>146</v>
      </c>
      <c r="B77">
        <v>1980710.9491000001</v>
      </c>
      <c r="C77">
        <v>2824197.4604000002</v>
      </c>
      <c r="D77">
        <v>2374325.2985999999</v>
      </c>
      <c r="E77">
        <v>2349332.4007000001</v>
      </c>
      <c r="F77">
        <v>2086906.973</v>
      </c>
      <c r="G77">
        <v>2299346.605</v>
      </c>
      <c r="H77">
        <v>2199375.0134000001</v>
      </c>
    </row>
    <row r="78" spans="1:8" x14ac:dyDescent="0.35">
      <c r="A78" t="s">
        <v>147</v>
      </c>
      <c r="B78">
        <v>1537301.16</v>
      </c>
      <c r="C78">
        <v>1480748.79</v>
      </c>
      <c r="D78">
        <v>1208226.9224</v>
      </c>
      <c r="E78">
        <v>1178194.5131999999</v>
      </c>
      <c r="F78">
        <v>945056.71707999997</v>
      </c>
      <c r="G78">
        <v>910954.43602000002</v>
      </c>
      <c r="H78">
        <v>1068374.7705999999</v>
      </c>
    </row>
    <row r="79" spans="1:8" x14ac:dyDescent="0.35">
      <c r="A79" t="s">
        <v>149</v>
      </c>
      <c r="B79">
        <v>956845.18714000005</v>
      </c>
      <c r="C79">
        <v>897146.89286000002</v>
      </c>
      <c r="D79">
        <v>909440.31655999995</v>
      </c>
      <c r="E79">
        <v>960631.45374000003</v>
      </c>
      <c r="F79">
        <v>866772.29868000001</v>
      </c>
      <c r="G79">
        <v>844020.66839999997</v>
      </c>
      <c r="H79">
        <v>868529.69310000003</v>
      </c>
    </row>
    <row r="80" spans="1:8" x14ac:dyDescent="0.35">
      <c r="A80" t="s">
        <v>151</v>
      </c>
      <c r="B80">
        <v>5419587.0323999999</v>
      </c>
      <c r="C80">
        <v>5015890.1721999999</v>
      </c>
      <c r="D80">
        <v>4601583.5291999998</v>
      </c>
      <c r="E80">
        <v>4964866.4393999996</v>
      </c>
      <c r="F80">
        <v>5077311.1497</v>
      </c>
      <c r="G80">
        <v>5448003.5652999999</v>
      </c>
      <c r="H80">
        <v>6300824.9950999999</v>
      </c>
    </row>
    <row r="81" spans="1:8" x14ac:dyDescent="0.35">
      <c r="A81" t="s">
        <v>145</v>
      </c>
      <c r="B81">
        <v>361305.42</v>
      </c>
      <c r="C81">
        <v>313232.57</v>
      </c>
      <c r="D81">
        <v>311208.45</v>
      </c>
      <c r="E81">
        <v>289449.15999999997</v>
      </c>
      <c r="F81">
        <v>281858.71000000002</v>
      </c>
      <c r="G81">
        <v>274268.26</v>
      </c>
      <c r="H81">
        <v>309690.36</v>
      </c>
    </row>
    <row r="82" spans="1:8" x14ac:dyDescent="0.35">
      <c r="A82" t="s">
        <v>148</v>
      </c>
      <c r="B82">
        <v>6693253.9199999999</v>
      </c>
      <c r="C82">
        <v>5860639</v>
      </c>
      <c r="D82">
        <v>4817849.4400000004</v>
      </c>
      <c r="E82">
        <v>4898685.84</v>
      </c>
      <c r="F82">
        <v>4567256.5999999996</v>
      </c>
      <c r="G82">
        <v>4349003.7</v>
      </c>
      <c r="H82">
        <v>4470258.45</v>
      </c>
    </row>
    <row r="83" spans="1:8" x14ac:dyDescent="0.35">
      <c r="A83" t="s">
        <v>152</v>
      </c>
      <c r="B83">
        <v>4959777.7300000004</v>
      </c>
      <c r="C83">
        <v>3825915.5</v>
      </c>
      <c r="D83">
        <v>2949433.04</v>
      </c>
      <c r="E83">
        <v>3665922.67</v>
      </c>
      <c r="F83">
        <v>3429411.53</v>
      </c>
      <c r="G83">
        <v>3770265.82</v>
      </c>
      <c r="H83">
        <v>4598054.8099999996</v>
      </c>
    </row>
    <row r="84" spans="1:8" x14ac:dyDescent="0.35">
      <c r="A84" t="s">
        <v>160</v>
      </c>
      <c r="B84">
        <v>33836523.377999999</v>
      </c>
      <c r="C84">
        <v>31005254.120000001</v>
      </c>
      <c r="D84">
        <v>28965434.77</v>
      </c>
      <c r="E84">
        <v>30066937.219000001</v>
      </c>
      <c r="F84">
        <v>30328034.096000001</v>
      </c>
      <c r="G84">
        <v>31494810.763999999</v>
      </c>
      <c r="H84">
        <v>33918116.152000003</v>
      </c>
    </row>
    <row r="85" spans="1:8" x14ac:dyDescent="0.35">
      <c r="A85" t="s">
        <v>153</v>
      </c>
      <c r="B85">
        <v>86547928.916999996</v>
      </c>
      <c r="C85">
        <v>78561201.984999999</v>
      </c>
      <c r="D85">
        <v>77730412.618000001</v>
      </c>
      <c r="E85">
        <v>83107696.306999996</v>
      </c>
      <c r="F85">
        <v>86927211.024000004</v>
      </c>
      <c r="G85">
        <v>92676983.649000004</v>
      </c>
      <c r="H85">
        <v>99957235.450000003</v>
      </c>
    </row>
    <row r="86" spans="1:8" x14ac:dyDescent="0.35">
      <c r="A86" t="s">
        <v>154</v>
      </c>
      <c r="B86">
        <v>86547928.916999996</v>
      </c>
      <c r="C86">
        <v>78561201.984999999</v>
      </c>
      <c r="D86">
        <v>77730412.618000001</v>
      </c>
      <c r="E86">
        <v>83107696.306999996</v>
      </c>
      <c r="F86">
        <v>86927211.024000004</v>
      </c>
      <c r="G86">
        <v>92676983.649000004</v>
      </c>
      <c r="H86">
        <v>99957235.450000003</v>
      </c>
    </row>
    <row r="87" spans="1:8" x14ac:dyDescent="0.35">
      <c r="A87" t="s">
        <v>475</v>
      </c>
      <c r="B87">
        <v>2559250.5161000001</v>
      </c>
      <c r="C87">
        <v>3984461.8813999998</v>
      </c>
      <c r="D87">
        <v>3984461.8813999998</v>
      </c>
      <c r="E87">
        <v>4104274.3714999999</v>
      </c>
      <c r="F87">
        <v>4155821.6057000002</v>
      </c>
      <c r="G87">
        <v>4221300.5247</v>
      </c>
      <c r="H87">
        <v>4374304.9994999999</v>
      </c>
    </row>
    <row r="88" spans="1:8" x14ac:dyDescent="0.35">
      <c r="A88" t="s">
        <v>155</v>
      </c>
      <c r="B88">
        <v>1881785.76</v>
      </c>
      <c r="C88">
        <v>1918807.58</v>
      </c>
      <c r="D88">
        <v>1963514</v>
      </c>
      <c r="E88">
        <v>2019119</v>
      </c>
      <c r="F88">
        <v>1566183.33</v>
      </c>
      <c r="G88">
        <v>1385512.5</v>
      </c>
      <c r="H88">
        <v>1200038.56</v>
      </c>
    </row>
    <row r="89" spans="1:8" x14ac:dyDescent="0.35">
      <c r="A89" t="s">
        <v>156</v>
      </c>
      <c r="B89">
        <v>35615007.840000004</v>
      </c>
      <c r="C89">
        <v>42704216.289999999</v>
      </c>
      <c r="D89">
        <v>41279028.270000003</v>
      </c>
      <c r="E89">
        <v>44107365.32</v>
      </c>
      <c r="F89">
        <v>51218612.759999998</v>
      </c>
      <c r="G89">
        <v>48231964.5</v>
      </c>
      <c r="H89">
        <v>47623104.719999999</v>
      </c>
    </row>
    <row r="90" spans="1:8" x14ac:dyDescent="0.35">
      <c r="A90" t="s">
        <v>61</v>
      </c>
      <c r="B90">
        <v>25262583.763999999</v>
      </c>
      <c r="C90">
        <v>22307556.763999999</v>
      </c>
      <c r="D90">
        <v>20337536.699999999</v>
      </c>
      <c r="E90">
        <v>22655204.699999999</v>
      </c>
      <c r="F90">
        <v>22751774.199999999</v>
      </c>
      <c r="G90">
        <v>22604598.379999999</v>
      </c>
      <c r="H90">
        <v>25814718.859999999</v>
      </c>
    </row>
    <row r="91" spans="1:8" x14ac:dyDescent="0.35">
      <c r="A91" t="s">
        <v>159</v>
      </c>
      <c r="B91">
        <v>21861227.000999998</v>
      </c>
      <c r="C91">
        <v>20646953.191</v>
      </c>
      <c r="D91">
        <v>19082355.977000002</v>
      </c>
      <c r="E91">
        <v>20634350.642999999</v>
      </c>
      <c r="F91">
        <v>19198457.638999999</v>
      </c>
      <c r="G91">
        <v>20332518.699000001</v>
      </c>
      <c r="H91">
        <v>22645525.289000001</v>
      </c>
    </row>
    <row r="92" spans="1:8" x14ac:dyDescent="0.35">
      <c r="A92" t="s">
        <v>157</v>
      </c>
      <c r="B92">
        <v>21861227.000999998</v>
      </c>
      <c r="C92">
        <v>20646953.191</v>
      </c>
      <c r="D92">
        <v>19082355.977000002</v>
      </c>
      <c r="E92">
        <v>20634350.642999999</v>
      </c>
      <c r="F92">
        <v>19198457.638999999</v>
      </c>
      <c r="G92">
        <v>20332518.699000001</v>
      </c>
      <c r="H92">
        <v>22645525.289000001</v>
      </c>
    </row>
    <row r="93" spans="1:8" x14ac:dyDescent="0.35">
      <c r="A93" t="s">
        <v>158</v>
      </c>
      <c r="B93">
        <v>21861227.000999998</v>
      </c>
      <c r="C93">
        <v>20646953.191</v>
      </c>
      <c r="D93">
        <v>19082355.977000002</v>
      </c>
      <c r="E93">
        <v>20634350.642999999</v>
      </c>
      <c r="F93">
        <v>19198457.638999999</v>
      </c>
      <c r="G93">
        <v>20332518.699000001</v>
      </c>
      <c r="H93">
        <v>22645525.289000001</v>
      </c>
    </row>
    <row r="94" spans="1:8" x14ac:dyDescent="0.35">
      <c r="A94" t="s">
        <v>161</v>
      </c>
      <c r="B94">
        <v>264471.93</v>
      </c>
      <c r="C94">
        <v>252170.91</v>
      </c>
      <c r="D94">
        <v>215267.85</v>
      </c>
      <c r="E94">
        <v>282923.46000000002</v>
      </c>
      <c r="F94">
        <v>256271.25</v>
      </c>
      <c r="G94">
        <v>207067.17</v>
      </c>
      <c r="H94">
        <v>250120.74</v>
      </c>
    </row>
    <row r="95" spans="1:8" x14ac:dyDescent="0.35">
      <c r="A95" t="s">
        <v>162</v>
      </c>
      <c r="B95">
        <v>12989355.161</v>
      </c>
      <c r="C95">
        <v>12663433.765000001</v>
      </c>
      <c r="D95">
        <v>12423300.816</v>
      </c>
      <c r="E95">
        <v>11911698.437999999</v>
      </c>
      <c r="F95">
        <v>12242734.457</v>
      </c>
      <c r="G95">
        <v>13565599.878</v>
      </c>
      <c r="H95">
        <v>13809496.716</v>
      </c>
    </row>
    <row r="96" spans="1:8" x14ac:dyDescent="0.35">
      <c r="A96" t="s">
        <v>163</v>
      </c>
      <c r="B96">
        <v>12989355.161</v>
      </c>
      <c r="C96">
        <v>12663433.765000001</v>
      </c>
      <c r="D96">
        <v>12423300.816</v>
      </c>
      <c r="E96">
        <v>11911698.437999999</v>
      </c>
      <c r="F96">
        <v>12242734.457</v>
      </c>
      <c r="G96">
        <v>13565599.878</v>
      </c>
      <c r="H96">
        <v>13809496.716</v>
      </c>
    </row>
    <row r="97" spans="1:8" x14ac:dyDescent="0.35">
      <c r="A97" t="s">
        <v>62</v>
      </c>
      <c r="B97">
        <v>40088178.571999997</v>
      </c>
      <c r="C97">
        <v>38239809.327</v>
      </c>
      <c r="D97">
        <v>34229688.846000001</v>
      </c>
      <c r="E97">
        <v>38127581.288999997</v>
      </c>
      <c r="F97">
        <v>37562344.468999997</v>
      </c>
      <c r="G97">
        <v>40060348.704000004</v>
      </c>
      <c r="H97">
        <v>46081919.869000003</v>
      </c>
    </row>
    <row r="98" spans="1:8" x14ac:dyDescent="0.35">
      <c r="A98" t="s">
        <v>164</v>
      </c>
      <c r="B98">
        <v>1366275.73</v>
      </c>
      <c r="C98">
        <v>1345774.78</v>
      </c>
      <c r="D98">
        <v>1379144.38</v>
      </c>
      <c r="E98">
        <v>1316855.2</v>
      </c>
      <c r="F98">
        <v>1220911.3500000001</v>
      </c>
      <c r="G98">
        <v>1207090.3500000001</v>
      </c>
      <c r="H98">
        <v>1260709.6399999999</v>
      </c>
    </row>
    <row r="99" spans="1:8" x14ac:dyDescent="0.35">
      <c r="A99" t="s">
        <v>63</v>
      </c>
      <c r="B99">
        <v>1199103.1935000001</v>
      </c>
      <c r="C99">
        <v>1135469.1932000001</v>
      </c>
      <c r="D99">
        <v>1055149.5053999999</v>
      </c>
      <c r="E99">
        <v>1196886.0061000001</v>
      </c>
      <c r="F99">
        <v>1118143.5057000001</v>
      </c>
      <c r="G99">
        <v>1192948.8811000001</v>
      </c>
      <c r="H99">
        <v>1131923.4432999999</v>
      </c>
    </row>
    <row r="100" spans="1:8" x14ac:dyDescent="0.35">
      <c r="A100" t="s">
        <v>64</v>
      </c>
      <c r="B100">
        <v>3047216.0709000002</v>
      </c>
      <c r="C100">
        <v>2761471.4</v>
      </c>
      <c r="D100">
        <v>2362301.3635</v>
      </c>
      <c r="E100">
        <v>2772377.6850999999</v>
      </c>
      <c r="F100">
        <v>2672039.8618000001</v>
      </c>
      <c r="G100">
        <v>3317691.9426000002</v>
      </c>
      <c r="H100">
        <v>2896709.3358</v>
      </c>
    </row>
    <row r="101" spans="1:8" x14ac:dyDescent="0.35">
      <c r="A101" t="s">
        <v>476</v>
      </c>
    </row>
    <row r="102" spans="1:8" x14ac:dyDescent="0.35">
      <c r="A102" t="s">
        <v>165</v>
      </c>
      <c r="B102">
        <v>3123692.2080000001</v>
      </c>
      <c r="C102">
        <v>3170105.04</v>
      </c>
      <c r="D102">
        <v>3165263.892</v>
      </c>
      <c r="E102">
        <v>3303973.08</v>
      </c>
      <c r="F102">
        <v>3073189.5279999999</v>
      </c>
      <c r="G102">
        <v>3058032.1680000001</v>
      </c>
      <c r="H102">
        <v>3026404.3</v>
      </c>
    </row>
    <row r="103" spans="1:8" x14ac:dyDescent="0.35">
      <c r="A103" t="s">
        <v>166</v>
      </c>
      <c r="B103">
        <v>3123692.2080000001</v>
      </c>
      <c r="C103">
        <v>3170105.04</v>
      </c>
      <c r="D103">
        <v>3165263.892</v>
      </c>
      <c r="E103">
        <v>3303973.08</v>
      </c>
      <c r="F103">
        <v>3073189.5279999999</v>
      </c>
      <c r="G103">
        <v>3058032.1680000001</v>
      </c>
      <c r="H103">
        <v>3026404.3</v>
      </c>
    </row>
    <row r="104" spans="1:8" x14ac:dyDescent="0.35">
      <c r="A104" t="s">
        <v>167</v>
      </c>
      <c r="B104">
        <v>27830.537970000001</v>
      </c>
      <c r="C104">
        <v>26643.683000000001</v>
      </c>
      <c r="D104">
        <v>23737.099399999999</v>
      </c>
      <c r="E104">
        <v>21775.155470000002</v>
      </c>
      <c r="F104">
        <v>21532.940170000002</v>
      </c>
      <c r="G104">
        <v>21799.377</v>
      </c>
      <c r="H104">
        <v>21799.377</v>
      </c>
    </row>
    <row r="105" spans="1:8" x14ac:dyDescent="0.35">
      <c r="A105" t="s">
        <v>267</v>
      </c>
      <c r="B105">
        <v>1366301.8282000001</v>
      </c>
      <c r="C105">
        <v>1313344.3929999999</v>
      </c>
      <c r="D105">
        <v>1235673.4879999999</v>
      </c>
      <c r="E105">
        <v>1232142.9923</v>
      </c>
      <c r="F105">
        <v>1193307.5397999999</v>
      </c>
      <c r="G105">
        <v>1295691.9146</v>
      </c>
      <c r="H105">
        <v>1380423.8108999999</v>
      </c>
    </row>
    <row r="106" spans="1:8" x14ac:dyDescent="0.35">
      <c r="A106" t="s">
        <v>168</v>
      </c>
      <c r="B106">
        <v>8066225.7319999998</v>
      </c>
      <c r="C106">
        <v>7173606.96</v>
      </c>
      <c r="D106">
        <v>6569456.4496999998</v>
      </c>
      <c r="E106">
        <v>6493257.2862999998</v>
      </c>
      <c r="F106">
        <v>6036062.3054999998</v>
      </c>
      <c r="G106">
        <v>6376681.0107000005</v>
      </c>
      <c r="H106">
        <v>7079750.9682999998</v>
      </c>
    </row>
    <row r="107" spans="1:8" x14ac:dyDescent="0.35">
      <c r="A107" t="s">
        <v>169</v>
      </c>
      <c r="B107">
        <v>5826289.1200000001</v>
      </c>
      <c r="C107">
        <v>5436445.7599999998</v>
      </c>
      <c r="D107">
        <v>5473828</v>
      </c>
      <c r="E107">
        <v>5804927.8399999999</v>
      </c>
      <c r="F107">
        <v>6346970.3200000003</v>
      </c>
      <c r="G107">
        <v>7233463.4400000004</v>
      </c>
      <c r="H107">
        <v>7807547.8399999999</v>
      </c>
    </row>
    <row r="108" spans="1:8" x14ac:dyDescent="0.35">
      <c r="A108" t="s">
        <v>171</v>
      </c>
      <c r="B108">
        <v>2816630.0543</v>
      </c>
      <c r="C108">
        <v>2889658.4597999998</v>
      </c>
      <c r="D108">
        <v>2785781.8484999998</v>
      </c>
      <c r="E108">
        <v>2754304.0874999999</v>
      </c>
      <c r="F108">
        <v>2914840.6686</v>
      </c>
      <c r="G108">
        <v>3084820.5780000002</v>
      </c>
      <c r="H108">
        <v>3119760.8927000002</v>
      </c>
    </row>
    <row r="109" spans="1:8" x14ac:dyDescent="0.35">
      <c r="A109" t="s">
        <v>170</v>
      </c>
      <c r="B109">
        <v>127855.42</v>
      </c>
      <c r="C109">
        <v>122874.04</v>
      </c>
      <c r="D109">
        <v>97967.14</v>
      </c>
      <c r="E109">
        <v>116232.2</v>
      </c>
      <c r="F109">
        <v>91325.3</v>
      </c>
      <c r="G109">
        <v>305412.61</v>
      </c>
      <c r="H109">
        <v>188360.2</v>
      </c>
    </row>
    <row r="110" spans="1:8" x14ac:dyDescent="0.35">
      <c r="A110" t="s">
        <v>172</v>
      </c>
      <c r="B110">
        <v>37839416.848999999</v>
      </c>
      <c r="C110">
        <v>41695783.086999997</v>
      </c>
      <c r="D110">
        <v>36187993.077</v>
      </c>
      <c r="E110">
        <v>35353639.468999997</v>
      </c>
      <c r="F110">
        <v>33310651.489</v>
      </c>
      <c r="G110">
        <v>32240419.298999999</v>
      </c>
      <c r="H110">
        <v>30179954.958000001</v>
      </c>
    </row>
    <row r="111" spans="1:8" x14ac:dyDescent="0.35">
      <c r="A111" t="s">
        <v>174</v>
      </c>
      <c r="B111">
        <v>11513021.710000001</v>
      </c>
      <c r="C111">
        <v>10932646.642000001</v>
      </c>
      <c r="D111">
        <v>9434469.1393999998</v>
      </c>
      <c r="E111">
        <v>10176809.343</v>
      </c>
      <c r="F111">
        <v>9076796.1319999993</v>
      </c>
      <c r="G111">
        <v>8838513.1611000001</v>
      </c>
      <c r="H111">
        <v>10226938.6</v>
      </c>
    </row>
    <row r="112" spans="1:8" x14ac:dyDescent="0.35">
      <c r="A112" t="s">
        <v>477</v>
      </c>
      <c r="B112">
        <v>16742978.282</v>
      </c>
      <c r="C112">
        <v>15419456.1</v>
      </c>
      <c r="D112">
        <v>14366093.127</v>
      </c>
      <c r="E112">
        <v>14995593.296</v>
      </c>
      <c r="F112">
        <v>14343610.979</v>
      </c>
      <c r="G112">
        <v>15225946.933</v>
      </c>
      <c r="H112">
        <v>17292004.629999999</v>
      </c>
    </row>
    <row r="113" spans="1:8" x14ac:dyDescent="0.35">
      <c r="A113" t="s">
        <v>177</v>
      </c>
      <c r="B113">
        <v>10477780.384</v>
      </c>
      <c r="C113">
        <v>11595236.419</v>
      </c>
      <c r="D113">
        <v>10269671.405999999</v>
      </c>
      <c r="E113">
        <v>10059909.221999999</v>
      </c>
      <c r="F113">
        <v>9225720.0147999991</v>
      </c>
      <c r="G113">
        <v>8963517.875</v>
      </c>
      <c r="H113">
        <v>8451994.7238999996</v>
      </c>
    </row>
    <row r="114" spans="1:8" x14ac:dyDescent="0.35">
      <c r="A114" t="s">
        <v>173</v>
      </c>
    </row>
    <row r="115" spans="1:8" x14ac:dyDescent="0.35">
      <c r="A115" t="s">
        <v>95</v>
      </c>
      <c r="B115">
        <v>4799491.2</v>
      </c>
      <c r="C115">
        <v>4673188.8</v>
      </c>
      <c r="D115">
        <v>4402540.8</v>
      </c>
      <c r="E115">
        <v>5106225.5999999996</v>
      </c>
      <c r="F115">
        <v>5043074.4000000004</v>
      </c>
      <c r="G115">
        <v>4961880</v>
      </c>
      <c r="H115">
        <v>5016009.5999999996</v>
      </c>
    </row>
    <row r="116" spans="1:8" x14ac:dyDescent="0.35">
      <c r="A116" t="s">
        <v>176</v>
      </c>
      <c r="B116">
        <v>4238186.2655999996</v>
      </c>
      <c r="C116">
        <v>3479406.1568</v>
      </c>
      <c r="D116">
        <v>3090032.1535999998</v>
      </c>
      <c r="E116">
        <v>3314671.0016000001</v>
      </c>
      <c r="F116">
        <v>3065072.2815999999</v>
      </c>
      <c r="G116">
        <v>3159919.7952000001</v>
      </c>
      <c r="H116">
        <v>4063467.1616000002</v>
      </c>
    </row>
    <row r="117" spans="1:8" x14ac:dyDescent="0.35">
      <c r="A117" t="s">
        <v>179</v>
      </c>
      <c r="B117">
        <v>26380252.976</v>
      </c>
      <c r="C117">
        <v>20234853.135000002</v>
      </c>
      <c r="D117">
        <v>16546131.811000001</v>
      </c>
      <c r="E117">
        <v>18178485.622000001</v>
      </c>
      <c r="F117">
        <v>15655757.005000001</v>
      </c>
      <c r="G117">
        <v>16397736.011</v>
      </c>
      <c r="H117">
        <v>17213912.916000001</v>
      </c>
    </row>
    <row r="118" spans="1:8" x14ac:dyDescent="0.35">
      <c r="A118" t="s">
        <v>180</v>
      </c>
      <c r="B118">
        <v>465114.02064</v>
      </c>
      <c r="C118">
        <v>418808.42124</v>
      </c>
      <c r="D118">
        <v>306645.96935999999</v>
      </c>
      <c r="E118">
        <v>330313.27571999998</v>
      </c>
      <c r="F118">
        <v>281949.64967999997</v>
      </c>
      <c r="G118">
        <v>340603.40892000002</v>
      </c>
      <c r="H118">
        <v>378676.90175999998</v>
      </c>
    </row>
    <row r="119" spans="1:8" x14ac:dyDescent="0.35">
      <c r="A119" t="s">
        <v>181</v>
      </c>
    </row>
    <row r="120" spans="1:8" x14ac:dyDescent="0.35">
      <c r="A120" t="s">
        <v>478</v>
      </c>
      <c r="B120">
        <v>2395206.4500000002</v>
      </c>
      <c r="C120">
        <v>2281149</v>
      </c>
      <c r="D120">
        <v>2091053.25</v>
      </c>
      <c r="E120">
        <v>2091053.25</v>
      </c>
      <c r="F120">
        <v>1505558.34</v>
      </c>
      <c r="G120">
        <v>1695654.09</v>
      </c>
      <c r="H120">
        <v>2303960.4900000002</v>
      </c>
    </row>
    <row r="121" spans="1:8" x14ac:dyDescent="0.35">
      <c r="A121" t="s">
        <v>65</v>
      </c>
      <c r="B121">
        <v>13982278.143999999</v>
      </c>
      <c r="C121">
        <v>12349957.890000001</v>
      </c>
      <c r="D121">
        <v>11445493.596000001</v>
      </c>
      <c r="E121">
        <v>11641629.749</v>
      </c>
      <c r="F121">
        <v>12052882.973999999</v>
      </c>
      <c r="G121">
        <v>12237953.757999999</v>
      </c>
      <c r="H121">
        <v>15239000.755999999</v>
      </c>
    </row>
    <row r="122" spans="1:8" x14ac:dyDescent="0.35">
      <c r="A122" t="s">
        <v>182</v>
      </c>
      <c r="B122">
        <v>3346135.9824000001</v>
      </c>
      <c r="C122">
        <v>2970122.2247000001</v>
      </c>
      <c r="D122">
        <v>2741881.713</v>
      </c>
      <c r="E122">
        <v>2828052.2152999998</v>
      </c>
      <c r="F122">
        <v>2693537.3714999999</v>
      </c>
      <c r="G122">
        <v>2839583.8563000001</v>
      </c>
      <c r="H122">
        <v>3089209.3432999998</v>
      </c>
    </row>
    <row r="123" spans="1:8" x14ac:dyDescent="0.35">
      <c r="A123" t="s">
        <v>183</v>
      </c>
      <c r="B123">
        <v>6270476.6453999998</v>
      </c>
      <c r="C123">
        <v>4979688.8720000004</v>
      </c>
      <c r="D123">
        <v>4186272.7763999999</v>
      </c>
      <c r="E123">
        <v>4743132.2224000003</v>
      </c>
      <c r="F123">
        <v>4225580.5020000003</v>
      </c>
      <c r="G123">
        <v>4192509.952</v>
      </c>
      <c r="H123">
        <v>4634688.7359999996</v>
      </c>
    </row>
    <row r="124" spans="1:8" x14ac:dyDescent="0.35">
      <c r="A124" t="s">
        <v>184</v>
      </c>
      <c r="B124">
        <v>3547070.7226</v>
      </c>
      <c r="C124">
        <v>3354739.9380999999</v>
      </c>
      <c r="D124">
        <v>3474230.5531000001</v>
      </c>
      <c r="E124">
        <v>4456345.1426999997</v>
      </c>
      <c r="F124">
        <v>3858073.6460000002</v>
      </c>
      <c r="G124">
        <v>4195266.3364000004</v>
      </c>
      <c r="H124">
        <v>3914545.2374</v>
      </c>
    </row>
    <row r="125" spans="1:8" x14ac:dyDescent="0.35">
      <c r="A125" t="s">
        <v>186</v>
      </c>
      <c r="B125">
        <v>17709243.863000002</v>
      </c>
      <c r="C125">
        <v>17832518.596000001</v>
      </c>
      <c r="D125">
        <v>17090279.059999999</v>
      </c>
      <c r="E125">
        <v>17988482.896000002</v>
      </c>
      <c r="F125">
        <v>17465666.488000002</v>
      </c>
      <c r="G125">
        <v>17087321.390999999</v>
      </c>
      <c r="H125">
        <v>17883009.206</v>
      </c>
    </row>
    <row r="126" spans="1:8" x14ac:dyDescent="0.35">
      <c r="A126" t="s">
        <v>498</v>
      </c>
      <c r="B126">
        <v>109461887.5</v>
      </c>
      <c r="C126">
        <v>101083123.66</v>
      </c>
      <c r="D126">
        <v>96328202.329999998</v>
      </c>
      <c r="E126">
        <v>104157924.88</v>
      </c>
      <c r="F126">
        <v>96628374.261000007</v>
      </c>
      <c r="G126">
        <v>103385444.90000001</v>
      </c>
      <c r="H126">
        <v>116005836.90000001</v>
      </c>
    </row>
    <row r="127" spans="1:8" x14ac:dyDescent="0.35">
      <c r="A127" t="s">
        <v>67</v>
      </c>
      <c r="B127">
        <v>318991217.95999998</v>
      </c>
      <c r="C127">
        <v>298838801.75</v>
      </c>
      <c r="D127">
        <v>281256876.98000002</v>
      </c>
      <c r="E127">
        <v>311657669.51999998</v>
      </c>
      <c r="F127">
        <v>295489741.56</v>
      </c>
      <c r="G127">
        <v>318696102.22000003</v>
      </c>
      <c r="H127">
        <v>359136774.60000002</v>
      </c>
    </row>
    <row r="128" spans="1:8" x14ac:dyDescent="0.35">
      <c r="A128" t="s">
        <v>188</v>
      </c>
      <c r="B128">
        <v>318991217.95999998</v>
      </c>
      <c r="C128">
        <v>298838801.75</v>
      </c>
      <c r="D128">
        <v>281256876.98000002</v>
      </c>
      <c r="E128">
        <v>311657669.51999998</v>
      </c>
      <c r="F128">
        <v>295489741.56</v>
      </c>
      <c r="G128">
        <v>318696102.22000003</v>
      </c>
      <c r="H128">
        <v>359136774.60000002</v>
      </c>
    </row>
    <row r="129" spans="1:8" x14ac:dyDescent="0.35">
      <c r="A129" t="s">
        <v>189</v>
      </c>
      <c r="B129">
        <v>1830394.3204999999</v>
      </c>
      <c r="C129">
        <v>1559001.4228999999</v>
      </c>
      <c r="D129">
        <v>1399181.1610000001</v>
      </c>
      <c r="E129">
        <v>1429335.9273999999</v>
      </c>
      <c r="F129">
        <v>1236345.4224</v>
      </c>
      <c r="G129">
        <v>1209206.1325999999</v>
      </c>
      <c r="H129">
        <v>1206190.656</v>
      </c>
    </row>
    <row r="130" spans="1:8" x14ac:dyDescent="0.35">
      <c r="A130" t="s">
        <v>190</v>
      </c>
      <c r="B130">
        <v>79874370.483999997</v>
      </c>
      <c r="C130">
        <v>82780102.928000003</v>
      </c>
      <c r="D130">
        <v>80517624.231000006</v>
      </c>
      <c r="E130">
        <v>77678435.277999997</v>
      </c>
      <c r="F130">
        <v>68739426.305999994</v>
      </c>
      <c r="G130">
        <v>91186763.971000001</v>
      </c>
      <c r="H130">
        <v>97774569.590000004</v>
      </c>
    </row>
    <row r="131" spans="1:8" x14ac:dyDescent="0.35">
      <c r="A131" t="s">
        <v>68</v>
      </c>
      <c r="B131">
        <v>3001407.5392</v>
      </c>
      <c r="C131">
        <v>2920288.4164999998</v>
      </c>
      <c r="D131">
        <v>2473029.5761000002</v>
      </c>
      <c r="E131">
        <v>2709521.4753999999</v>
      </c>
      <c r="F131">
        <v>2412559.8673999999</v>
      </c>
      <c r="G131">
        <v>2798008.4166999999</v>
      </c>
      <c r="H131">
        <v>3433919.4205</v>
      </c>
    </row>
    <row r="132" spans="1:8" x14ac:dyDescent="0.35">
      <c r="A132" t="s">
        <v>191</v>
      </c>
      <c r="B132">
        <v>2262162.324</v>
      </c>
      <c r="C132">
        <v>1929240.3215999999</v>
      </c>
      <c r="D132">
        <v>1539224.5595</v>
      </c>
      <c r="E132">
        <v>1630269.2653999999</v>
      </c>
      <c r="F132">
        <v>1533534.2653000001</v>
      </c>
      <c r="G132">
        <v>1436311.4353</v>
      </c>
      <c r="H132">
        <v>1916978.0344</v>
      </c>
    </row>
    <row r="133" spans="1:8" x14ac:dyDescent="0.35">
      <c r="A133" t="s">
        <v>69</v>
      </c>
      <c r="B133">
        <v>1768840.5</v>
      </c>
      <c r="C133">
        <v>1714816.8</v>
      </c>
      <c r="D133">
        <v>1614046.77</v>
      </c>
      <c r="E133">
        <v>1790881.11</v>
      </c>
      <c r="F133">
        <v>1357463.61</v>
      </c>
      <c r="G133">
        <v>1328965.56</v>
      </c>
      <c r="H133">
        <v>1299510</v>
      </c>
    </row>
    <row r="134" spans="1:8" x14ac:dyDescent="0.35">
      <c r="A134" t="s">
        <v>192</v>
      </c>
      <c r="B134">
        <v>25373574.884</v>
      </c>
      <c r="C134">
        <v>26953411.425000001</v>
      </c>
      <c r="D134">
        <v>28766434.526000001</v>
      </c>
      <c r="E134">
        <v>28044222.563999999</v>
      </c>
      <c r="F134">
        <v>24293635.318999998</v>
      </c>
      <c r="G134">
        <v>23024269.171</v>
      </c>
      <c r="H134">
        <v>22576021.607000001</v>
      </c>
    </row>
    <row r="135" spans="1:8" x14ac:dyDescent="0.35">
      <c r="A135" t="s">
        <v>193</v>
      </c>
      <c r="B135">
        <v>407591.73</v>
      </c>
      <c r="C135">
        <v>462193.641</v>
      </c>
      <c r="D135">
        <v>630618.89260000002</v>
      </c>
      <c r="E135">
        <v>653690.31550000003</v>
      </c>
      <c r="F135">
        <v>671378.40639000002</v>
      </c>
      <c r="G135">
        <v>678294.16200000001</v>
      </c>
      <c r="H135">
        <v>682139.36699999997</v>
      </c>
    </row>
    <row r="136" spans="1:8" x14ac:dyDescent="0.35">
      <c r="A136" t="s">
        <v>479</v>
      </c>
      <c r="B136">
        <v>1657283.3049999999</v>
      </c>
      <c r="C136">
        <v>1575200.8770999999</v>
      </c>
      <c r="D136">
        <v>1463803.2964999999</v>
      </c>
      <c r="E136">
        <v>1665100.679</v>
      </c>
      <c r="F136">
        <v>1680735.4272</v>
      </c>
      <c r="G136">
        <v>1807767.7560000001</v>
      </c>
      <c r="H136">
        <v>2040334.6348999999</v>
      </c>
    </row>
    <row r="137" spans="1:8" x14ac:dyDescent="0.35">
      <c r="A137" t="s">
        <v>194</v>
      </c>
      <c r="B137">
        <v>4058037.66</v>
      </c>
      <c r="C137">
        <v>3677173.07</v>
      </c>
      <c r="D137">
        <v>3721900.94</v>
      </c>
      <c r="E137">
        <v>3896746.25</v>
      </c>
      <c r="F137">
        <v>3742231.79</v>
      </c>
      <c r="G137">
        <v>3846596.82</v>
      </c>
      <c r="H137">
        <v>4014665.18</v>
      </c>
    </row>
    <row r="138" spans="1:8" x14ac:dyDescent="0.35">
      <c r="A138" t="s">
        <v>208</v>
      </c>
    </row>
    <row r="139" spans="1:8" x14ac:dyDescent="0.35">
      <c r="A139" t="s">
        <v>480</v>
      </c>
      <c r="B139">
        <v>561810.24</v>
      </c>
      <c r="C139">
        <v>507189.8</v>
      </c>
      <c r="D139">
        <v>421357.68</v>
      </c>
      <c r="E139">
        <v>454520.09</v>
      </c>
      <c r="F139">
        <v>421357.68</v>
      </c>
      <c r="G139">
        <v>560745.06999999995</v>
      </c>
      <c r="H139">
        <v>571090.92000000004</v>
      </c>
    </row>
    <row r="140" spans="1:8" x14ac:dyDescent="0.35">
      <c r="A140" t="s">
        <v>235</v>
      </c>
      <c r="B140">
        <v>1987370.58</v>
      </c>
      <c r="C140">
        <v>1774751.8</v>
      </c>
      <c r="D140">
        <v>1567428.31</v>
      </c>
      <c r="E140">
        <v>1594407.92</v>
      </c>
      <c r="F140">
        <v>1593537.61</v>
      </c>
      <c r="G140">
        <v>1586319.91</v>
      </c>
      <c r="H140">
        <v>1827357</v>
      </c>
    </row>
    <row r="141" spans="1:8" x14ac:dyDescent="0.35">
      <c r="A141" t="s">
        <v>70</v>
      </c>
      <c r="B141">
        <v>2803898.281</v>
      </c>
      <c r="C141">
        <v>2117510.7714</v>
      </c>
      <c r="D141">
        <v>2198137.4341000002</v>
      </c>
      <c r="E141">
        <v>2185406.9084000001</v>
      </c>
      <c r="F141">
        <v>2307407.7795000002</v>
      </c>
      <c r="G141">
        <v>2233146.3796999999</v>
      </c>
      <c r="H141">
        <v>2367877.7765000002</v>
      </c>
    </row>
    <row r="142" spans="1:8" x14ac:dyDescent="0.35">
      <c r="A142" t="s">
        <v>196</v>
      </c>
      <c r="B142">
        <v>221033.68</v>
      </c>
      <c r="C142">
        <v>226525.2</v>
      </c>
      <c r="D142">
        <v>205932</v>
      </c>
      <c r="E142">
        <v>189457.44</v>
      </c>
      <c r="F142">
        <v>160626.96</v>
      </c>
      <c r="G142">
        <v>196321.84</v>
      </c>
      <c r="H142">
        <v>189457.44</v>
      </c>
    </row>
    <row r="143" spans="1:8" x14ac:dyDescent="0.35">
      <c r="A143" t="s">
        <v>197</v>
      </c>
      <c r="B143">
        <v>17755148.399999999</v>
      </c>
      <c r="C143">
        <v>14399167.199999999</v>
      </c>
      <c r="D143">
        <v>12746991.84</v>
      </c>
      <c r="E143">
        <v>14619074.800000001</v>
      </c>
      <c r="F143">
        <v>11916123.560000001</v>
      </c>
      <c r="G143">
        <v>12349059.050000001</v>
      </c>
      <c r="H143">
        <v>14752228.35</v>
      </c>
    </row>
    <row r="144" spans="1:8" x14ac:dyDescent="0.35">
      <c r="A144" t="s">
        <v>71</v>
      </c>
      <c r="B144">
        <v>228459.6</v>
      </c>
      <c r="C144">
        <v>190383</v>
      </c>
      <c r="D144">
        <v>142152.64000000001</v>
      </c>
      <c r="E144">
        <v>142152.64000000001</v>
      </c>
      <c r="F144">
        <v>139614.20000000001</v>
      </c>
      <c r="G144">
        <v>187209.95</v>
      </c>
      <c r="H144">
        <v>174517.75</v>
      </c>
    </row>
    <row r="145" spans="1:8" x14ac:dyDescent="0.35">
      <c r="A145" t="s">
        <v>277</v>
      </c>
      <c r="B145">
        <v>2317049.9202999999</v>
      </c>
      <c r="C145">
        <v>2088136.5547</v>
      </c>
      <c r="D145">
        <v>1853674.3547</v>
      </c>
      <c r="E145">
        <v>1915091.2760999999</v>
      </c>
      <c r="F145">
        <v>1529839.6783</v>
      </c>
      <c r="G145">
        <v>1467918.9306000001</v>
      </c>
      <c r="H145">
        <v>1984714.3592999999</v>
      </c>
    </row>
    <row r="146" spans="1:8" x14ac:dyDescent="0.35">
      <c r="A146" t="s">
        <v>198</v>
      </c>
      <c r="B146">
        <v>1497420.6007000001</v>
      </c>
      <c r="C146">
        <v>1446836.3813</v>
      </c>
      <c r="D146">
        <v>1242955.987</v>
      </c>
      <c r="E146">
        <v>1359056.2715</v>
      </c>
      <c r="F146">
        <v>1263444.2725</v>
      </c>
      <c r="G146">
        <v>1301708.1963</v>
      </c>
      <c r="H146">
        <v>1619527.8598</v>
      </c>
    </row>
    <row r="147" spans="1:8" x14ac:dyDescent="0.35">
      <c r="A147" t="s">
        <v>204</v>
      </c>
      <c r="B147">
        <v>8376594.6982000005</v>
      </c>
      <c r="C147">
        <v>7438791.2133999998</v>
      </c>
      <c r="D147">
        <v>6721295.4151999997</v>
      </c>
      <c r="E147">
        <v>8072259.0323000001</v>
      </c>
      <c r="F147">
        <v>7529191.7718000002</v>
      </c>
      <c r="G147">
        <v>7626407.5159999998</v>
      </c>
      <c r="H147">
        <v>8504701.4804999996</v>
      </c>
    </row>
    <row r="148" spans="1:8" x14ac:dyDescent="0.35">
      <c r="A148" t="s">
        <v>199</v>
      </c>
      <c r="B148">
        <v>1350872.4232000001</v>
      </c>
      <c r="C148">
        <v>1036735.6314</v>
      </c>
      <c r="D148">
        <v>905183.93160000001</v>
      </c>
      <c r="E148">
        <v>1025036.9892</v>
      </c>
      <c r="F148">
        <v>1018331.923</v>
      </c>
      <c r="G148">
        <v>1209426.3086000001</v>
      </c>
      <c r="H148">
        <v>1379567.3624</v>
      </c>
    </row>
    <row r="149" spans="1:8" x14ac:dyDescent="0.35">
      <c r="A149" t="s">
        <v>213</v>
      </c>
      <c r="B149">
        <v>726100.88944000006</v>
      </c>
      <c r="C149">
        <v>695506.75083999999</v>
      </c>
      <c r="D149">
        <v>725166.10765000002</v>
      </c>
      <c r="E149">
        <v>770105.97910999996</v>
      </c>
      <c r="F149">
        <v>763977.81481999997</v>
      </c>
      <c r="G149">
        <v>653670.85759999999</v>
      </c>
      <c r="H149">
        <v>661841.74332000001</v>
      </c>
    </row>
    <row r="150" spans="1:8" x14ac:dyDescent="0.35">
      <c r="A150" t="s">
        <v>73</v>
      </c>
      <c r="B150">
        <v>156687</v>
      </c>
      <c r="C150">
        <v>163896.65578</v>
      </c>
      <c r="D150">
        <v>385353</v>
      </c>
      <c r="E150">
        <v>377154</v>
      </c>
      <c r="F150">
        <v>389862.45</v>
      </c>
      <c r="G150">
        <v>391502.25</v>
      </c>
      <c r="H150">
        <v>397651.5</v>
      </c>
    </row>
    <row r="151" spans="1:8" x14ac:dyDescent="0.35">
      <c r="A151" t="s">
        <v>206</v>
      </c>
      <c r="B151">
        <v>45571.71056</v>
      </c>
      <c r="C151">
        <v>37880.0386</v>
      </c>
      <c r="D151">
        <v>46207.863879999997</v>
      </c>
      <c r="E151">
        <v>46034.36752</v>
      </c>
      <c r="F151">
        <v>38169.199200000003</v>
      </c>
      <c r="G151">
        <v>38111.367080000004</v>
      </c>
      <c r="H151">
        <v>34294.447160000003</v>
      </c>
    </row>
    <row r="152" spans="1:8" x14ac:dyDescent="0.35">
      <c r="A152" t="s">
        <v>200</v>
      </c>
      <c r="B152">
        <v>6963129.6907000002</v>
      </c>
      <c r="C152">
        <v>6646623.7955999998</v>
      </c>
      <c r="D152">
        <v>4784391.4364999998</v>
      </c>
      <c r="E152">
        <v>5461566.8398000002</v>
      </c>
      <c r="F152">
        <v>5262830.5800999999</v>
      </c>
      <c r="G152">
        <v>7477045.5094999997</v>
      </c>
      <c r="H152">
        <v>6865622.0835999995</v>
      </c>
    </row>
    <row r="153" spans="1:8" x14ac:dyDescent="0.35">
      <c r="A153" t="s">
        <v>72</v>
      </c>
      <c r="B153">
        <v>2444673</v>
      </c>
      <c r="C153">
        <v>2179251.36</v>
      </c>
      <c r="D153">
        <v>1892857.3762999999</v>
      </c>
      <c r="E153">
        <v>2099084</v>
      </c>
      <c r="F153">
        <v>2003774.24</v>
      </c>
      <c r="G153">
        <v>2133854.36</v>
      </c>
      <c r="H153">
        <v>2291750.56</v>
      </c>
    </row>
    <row r="154" spans="1:8" x14ac:dyDescent="0.35">
      <c r="A154" t="s">
        <v>209</v>
      </c>
      <c r="B154">
        <v>1308008.6388000001</v>
      </c>
      <c r="C154">
        <v>1025414.1798</v>
      </c>
      <c r="D154">
        <v>855857.50439999998</v>
      </c>
      <c r="E154">
        <v>1001191.7976</v>
      </c>
      <c r="F154">
        <v>912376.39619999996</v>
      </c>
      <c r="G154">
        <v>985043.54280000005</v>
      </c>
      <c r="H154">
        <v>985043.54280000005</v>
      </c>
    </row>
    <row r="155" spans="1:8" x14ac:dyDescent="0.35">
      <c r="A155" t="s">
        <v>214</v>
      </c>
      <c r="B155">
        <v>2147229.3420000002</v>
      </c>
      <c r="C155">
        <v>1878825.6743000001</v>
      </c>
      <c r="D155">
        <v>1264177.3755999999</v>
      </c>
      <c r="E155">
        <v>1464160.2372999999</v>
      </c>
      <c r="F155">
        <v>1271319.6207000001</v>
      </c>
      <c r="G155">
        <v>1709660.7871999999</v>
      </c>
      <c r="H155">
        <v>2461772.2536999998</v>
      </c>
    </row>
    <row r="156" spans="1:8" x14ac:dyDescent="0.35">
      <c r="A156" t="s">
        <v>74</v>
      </c>
      <c r="B156">
        <v>3894755.92</v>
      </c>
      <c r="C156">
        <v>2971721.28</v>
      </c>
      <c r="D156">
        <v>2988606.06</v>
      </c>
      <c r="E156">
        <v>3219364.72</v>
      </c>
      <c r="F156">
        <v>2538345.2599999998</v>
      </c>
      <c r="G156">
        <v>2876040.86</v>
      </c>
      <c r="H156">
        <v>3331929.92</v>
      </c>
    </row>
    <row r="157" spans="1:8" x14ac:dyDescent="0.35">
      <c r="A157" t="s">
        <v>203</v>
      </c>
      <c r="B157">
        <v>390309.0858</v>
      </c>
      <c r="C157">
        <v>372327.3664</v>
      </c>
      <c r="D157">
        <v>306746.978</v>
      </c>
      <c r="E157">
        <v>349056.90600000002</v>
      </c>
      <c r="F157">
        <v>321555.45280000003</v>
      </c>
      <c r="G157">
        <v>356461.1434</v>
      </c>
      <c r="H157">
        <v>406175.3088</v>
      </c>
    </row>
    <row r="158" spans="1:8" x14ac:dyDescent="0.35">
      <c r="A158" t="s">
        <v>75</v>
      </c>
      <c r="B158">
        <v>13873969.107999999</v>
      </c>
      <c r="C158">
        <v>12350904.446</v>
      </c>
      <c r="D158">
        <v>10101337.425000001</v>
      </c>
      <c r="E158">
        <v>10902411.668</v>
      </c>
      <c r="F158">
        <v>10237809.253</v>
      </c>
      <c r="G158">
        <v>11041187.105</v>
      </c>
      <c r="H158">
        <v>12575228.145</v>
      </c>
    </row>
    <row r="159" spans="1:8" x14ac:dyDescent="0.35">
      <c r="A159" t="s">
        <v>211</v>
      </c>
      <c r="B159">
        <v>1526156.3</v>
      </c>
      <c r="C159">
        <v>1756802.1</v>
      </c>
      <c r="D159">
        <v>1689405.6</v>
      </c>
      <c r="E159">
        <v>2056342.1</v>
      </c>
      <c r="F159">
        <v>1908069.8</v>
      </c>
      <c r="G159">
        <v>1744820.5</v>
      </c>
      <c r="H159">
        <v>1845166.4</v>
      </c>
    </row>
    <row r="160" spans="1:8" x14ac:dyDescent="0.35">
      <c r="A160" t="s">
        <v>215</v>
      </c>
      <c r="B160">
        <v>23159053.690000001</v>
      </c>
      <c r="C160">
        <v>23522808.460000001</v>
      </c>
      <c r="D160">
        <v>22940790.813999999</v>
      </c>
      <c r="E160">
        <v>22783080.460000001</v>
      </c>
      <c r="F160">
        <v>23595895.364</v>
      </c>
      <c r="G160">
        <v>25368362.482999999</v>
      </c>
      <c r="H160">
        <v>27795956.978999998</v>
      </c>
    </row>
    <row r="161" spans="1:8" x14ac:dyDescent="0.35">
      <c r="A161" t="s">
        <v>66</v>
      </c>
      <c r="B161">
        <v>18997837.32</v>
      </c>
      <c r="C161">
        <v>19233404.960000001</v>
      </c>
      <c r="D161">
        <v>17686533.920000002</v>
      </c>
      <c r="E161">
        <v>17658812.079999998</v>
      </c>
      <c r="F161">
        <v>17922169.559999999</v>
      </c>
      <c r="G161">
        <v>13831574.58</v>
      </c>
      <c r="H161">
        <v>13166994.42</v>
      </c>
    </row>
    <row r="162" spans="1:8" x14ac:dyDescent="0.35">
      <c r="A162" t="s">
        <v>76</v>
      </c>
      <c r="B162">
        <v>6021692.193</v>
      </c>
      <c r="C162">
        <v>5912206.8804000001</v>
      </c>
      <c r="D162">
        <v>5932892.7819999997</v>
      </c>
      <c r="E162">
        <v>6167804.7429</v>
      </c>
      <c r="F162">
        <v>5796316.0604999997</v>
      </c>
      <c r="G162">
        <v>5695701.5857999995</v>
      </c>
      <c r="H162">
        <v>5826637.2544999998</v>
      </c>
    </row>
    <row r="163" spans="1:8" x14ac:dyDescent="0.35">
      <c r="A163" t="s">
        <v>216</v>
      </c>
      <c r="B163">
        <v>1188264.0926000001</v>
      </c>
      <c r="C163">
        <v>1107612.6836000001</v>
      </c>
      <c r="D163">
        <v>920403.17610000004</v>
      </c>
      <c r="E163">
        <v>968354.58406000002</v>
      </c>
      <c r="F163">
        <v>957063.38679999998</v>
      </c>
      <c r="G163">
        <v>1199017.6137999999</v>
      </c>
      <c r="H163">
        <v>1204394.3744000001</v>
      </c>
    </row>
    <row r="164" spans="1:8" x14ac:dyDescent="0.35">
      <c r="A164" t="s">
        <v>218</v>
      </c>
      <c r="B164">
        <v>277627.37</v>
      </c>
      <c r="C164">
        <v>531783.2524</v>
      </c>
      <c r="D164">
        <v>445665.95</v>
      </c>
      <c r="E164">
        <v>538374.56000000006</v>
      </c>
      <c r="F164">
        <v>376854.86</v>
      </c>
      <c r="G164">
        <v>332486.94</v>
      </c>
      <c r="H164">
        <v>194792.9</v>
      </c>
    </row>
    <row r="165" spans="1:8" x14ac:dyDescent="0.35">
      <c r="A165" t="s">
        <v>222</v>
      </c>
      <c r="B165">
        <v>2910846.3325999998</v>
      </c>
      <c r="C165">
        <v>1379488.0445999999</v>
      </c>
      <c r="D165">
        <v>1480734.8735</v>
      </c>
      <c r="E165">
        <v>1360504.2642000001</v>
      </c>
      <c r="F165">
        <v>3556294.8672000002</v>
      </c>
      <c r="G165">
        <v>3841215.4637000002</v>
      </c>
      <c r="H165">
        <v>3828559.0701000001</v>
      </c>
    </row>
    <row r="166" spans="1:8" x14ac:dyDescent="0.35">
      <c r="A166" t="s">
        <v>219</v>
      </c>
      <c r="B166">
        <v>1244860.3663999999</v>
      </c>
      <c r="C166">
        <v>1094208.4750000001</v>
      </c>
      <c r="D166">
        <v>1048773.8855999999</v>
      </c>
      <c r="E166">
        <v>1116180.9028</v>
      </c>
      <c r="F166">
        <v>1092390.1908</v>
      </c>
      <c r="G166">
        <v>1120682.8844999999</v>
      </c>
      <c r="H166">
        <v>1075062.1653</v>
      </c>
    </row>
    <row r="167" spans="1:8" x14ac:dyDescent="0.35">
      <c r="A167" t="s">
        <v>220</v>
      </c>
      <c r="B167">
        <v>3846437.87</v>
      </c>
      <c r="C167">
        <v>3459886.21</v>
      </c>
      <c r="D167">
        <v>3139695.35</v>
      </c>
      <c r="E167">
        <v>3418410.71</v>
      </c>
      <c r="F167">
        <v>3452420.62</v>
      </c>
      <c r="G167">
        <v>3508827.3</v>
      </c>
      <c r="H167">
        <v>4067917.04</v>
      </c>
    </row>
    <row r="168" spans="1:8" x14ac:dyDescent="0.35">
      <c r="A168" t="s">
        <v>217</v>
      </c>
    </row>
    <row r="169" spans="1:8" x14ac:dyDescent="0.35">
      <c r="A169" t="s">
        <v>221</v>
      </c>
    </row>
    <row r="170" spans="1:8" x14ac:dyDescent="0.35">
      <c r="A170" t="s">
        <v>481</v>
      </c>
      <c r="B170">
        <v>1470051</v>
      </c>
      <c r="C170">
        <v>1293644.8799999999</v>
      </c>
      <c r="D170">
        <v>1249596.8999999999</v>
      </c>
      <c r="E170">
        <v>1347604.5</v>
      </c>
      <c r="F170">
        <v>1239796.1399999999</v>
      </c>
      <c r="G170">
        <v>1514489.34</v>
      </c>
      <c r="H170">
        <v>2073232.98</v>
      </c>
    </row>
    <row r="171" spans="1:8" x14ac:dyDescent="0.35">
      <c r="A171" t="s">
        <v>133</v>
      </c>
      <c r="B171">
        <v>486277422.30000001</v>
      </c>
      <c r="C171">
        <v>529056805.13999999</v>
      </c>
      <c r="D171">
        <v>490407223.67000002</v>
      </c>
      <c r="E171">
        <v>511529798.82999998</v>
      </c>
      <c r="F171">
        <v>486311930.00999999</v>
      </c>
      <c r="G171">
        <v>506183876.25999999</v>
      </c>
      <c r="H171">
        <v>401864092.14999998</v>
      </c>
    </row>
    <row r="172" spans="1:8" x14ac:dyDescent="0.35">
      <c r="A172" t="s">
        <v>77</v>
      </c>
      <c r="B172">
        <v>486277422.30000001</v>
      </c>
      <c r="C172">
        <v>529056805.13999999</v>
      </c>
      <c r="D172">
        <v>490407223.67000002</v>
      </c>
      <c r="E172">
        <v>511529798.82999998</v>
      </c>
      <c r="F172">
        <v>486311930.00999999</v>
      </c>
      <c r="G172">
        <v>506183876.25999999</v>
      </c>
      <c r="H172">
        <v>401864092.14999998</v>
      </c>
    </row>
    <row r="173" spans="1:8" x14ac:dyDescent="0.35">
      <c r="A173" t="s">
        <v>224</v>
      </c>
      <c r="B173">
        <v>2227562.0257999999</v>
      </c>
      <c r="C173">
        <v>1938970.9941</v>
      </c>
      <c r="D173">
        <v>1835258.5921</v>
      </c>
      <c r="E173">
        <v>2191488.1468000002</v>
      </c>
      <c r="F173">
        <v>1803693.9480000001</v>
      </c>
      <c r="G173">
        <v>1836139.4336999999</v>
      </c>
      <c r="H173">
        <v>2097800.5814999999</v>
      </c>
    </row>
    <row r="174" spans="1:8" x14ac:dyDescent="0.35">
      <c r="A174" t="s">
        <v>78</v>
      </c>
      <c r="B174">
        <v>858277</v>
      </c>
      <c r="C174">
        <v>845431.37818</v>
      </c>
      <c r="D174">
        <v>760745.26810999995</v>
      </c>
      <c r="E174">
        <v>795745.39</v>
      </c>
      <c r="F174">
        <v>827624.25</v>
      </c>
      <c r="G174">
        <v>893834.19</v>
      </c>
      <c r="H174">
        <v>991922.99</v>
      </c>
    </row>
    <row r="175" spans="1:8" x14ac:dyDescent="0.35">
      <c r="A175" t="s">
        <v>227</v>
      </c>
      <c r="B175">
        <v>1649845.4161</v>
      </c>
      <c r="C175">
        <v>1960269.2923000001</v>
      </c>
      <c r="D175">
        <v>1816554.5348</v>
      </c>
      <c r="E175">
        <v>1850868.6654000001</v>
      </c>
      <c r="F175">
        <v>1641336.3637000001</v>
      </c>
      <c r="G175">
        <v>1948396.1207000001</v>
      </c>
      <c r="H175">
        <v>2041176.8883</v>
      </c>
    </row>
    <row r="176" spans="1:8" x14ac:dyDescent="0.35">
      <c r="A176" t="s">
        <v>233</v>
      </c>
      <c r="B176">
        <v>2803773.1</v>
      </c>
      <c r="C176">
        <v>2456279.9750000001</v>
      </c>
      <c r="D176">
        <v>1823037.2649999999</v>
      </c>
      <c r="E176">
        <v>1972140.64</v>
      </c>
      <c r="F176">
        <v>1974128.6850000001</v>
      </c>
      <c r="G176">
        <v>2343403.44</v>
      </c>
      <c r="H176">
        <v>2327461.92</v>
      </c>
    </row>
    <row r="177" spans="1:8" x14ac:dyDescent="0.35">
      <c r="A177" t="s">
        <v>223</v>
      </c>
      <c r="B177">
        <v>1512995.4966</v>
      </c>
      <c r="C177">
        <v>1412925.7056</v>
      </c>
      <c r="D177">
        <v>1309383.7768000001</v>
      </c>
      <c r="E177">
        <v>1266233.6296000001</v>
      </c>
      <c r="F177">
        <v>1220107.6102</v>
      </c>
      <c r="G177">
        <v>1288876.3565</v>
      </c>
      <c r="H177">
        <v>1367847.9715</v>
      </c>
    </row>
    <row r="178" spans="1:8" x14ac:dyDescent="0.35">
      <c r="A178" t="s">
        <v>228</v>
      </c>
      <c r="B178">
        <v>8776153.2240999993</v>
      </c>
      <c r="C178">
        <v>8804220.6166999992</v>
      </c>
      <c r="D178">
        <v>7592934.2572999997</v>
      </c>
      <c r="E178">
        <v>8496742.5206000004</v>
      </c>
      <c r="F178">
        <v>7620644.9874999998</v>
      </c>
      <c r="G178">
        <v>6417801.4164000005</v>
      </c>
      <c r="H178">
        <v>7286592.2111</v>
      </c>
    </row>
    <row r="179" spans="1:8" x14ac:dyDescent="0.35">
      <c r="A179" t="s">
        <v>150</v>
      </c>
      <c r="B179">
        <v>8776153.2240999993</v>
      </c>
      <c r="C179">
        <v>8804220.6166999992</v>
      </c>
      <c r="D179">
        <v>7592934.2572999997</v>
      </c>
      <c r="E179">
        <v>8496742.5206000004</v>
      </c>
      <c r="F179">
        <v>7620644.9874999998</v>
      </c>
      <c r="G179">
        <v>6417801.4164000005</v>
      </c>
      <c r="H179">
        <v>7286592.2111</v>
      </c>
    </row>
    <row r="180" spans="1:8" x14ac:dyDescent="0.35">
      <c r="A180" t="s">
        <v>201</v>
      </c>
      <c r="B180">
        <v>6997716.0609999998</v>
      </c>
      <c r="C180">
        <v>6954221.483</v>
      </c>
      <c r="D180">
        <v>7192349.5489999996</v>
      </c>
      <c r="E180">
        <v>7492214.5209999997</v>
      </c>
      <c r="F180">
        <v>7302594.0240000002</v>
      </c>
      <c r="G180">
        <v>7509853.6370000001</v>
      </c>
      <c r="H180">
        <v>7553951.4270000001</v>
      </c>
    </row>
    <row r="181" spans="1:8" x14ac:dyDescent="0.35">
      <c r="A181" t="s">
        <v>202</v>
      </c>
      <c r="B181">
        <v>894259.1</v>
      </c>
      <c r="C181">
        <v>728242.2</v>
      </c>
      <c r="D181">
        <v>722822.38</v>
      </c>
      <c r="E181">
        <v>809337.8</v>
      </c>
      <c r="F181">
        <v>697705</v>
      </c>
      <c r="G181">
        <v>700144.42</v>
      </c>
      <c r="H181">
        <v>857746.65</v>
      </c>
    </row>
    <row r="182" spans="1:8" x14ac:dyDescent="0.35">
      <c r="A182" t="s">
        <v>279</v>
      </c>
      <c r="B182">
        <v>34190675.053999998</v>
      </c>
      <c r="C182">
        <v>33489841.305</v>
      </c>
      <c r="D182">
        <v>32802605.888999999</v>
      </c>
      <c r="E182">
        <v>34050585.181000002</v>
      </c>
      <c r="F182">
        <v>31348548.875</v>
      </c>
      <c r="G182">
        <v>32442899.594000001</v>
      </c>
      <c r="H182">
        <v>27478646.866999999</v>
      </c>
    </row>
    <row r="183" spans="1:8" x14ac:dyDescent="0.35">
      <c r="A183" t="s">
        <v>231</v>
      </c>
      <c r="B183">
        <v>646615.27688000002</v>
      </c>
      <c r="C183">
        <v>656893.84342000005</v>
      </c>
      <c r="D183">
        <v>626525.35137000005</v>
      </c>
      <c r="E183">
        <v>747532.11199999996</v>
      </c>
      <c r="F183">
        <v>764818.79209</v>
      </c>
      <c r="G183">
        <v>783039.88731999998</v>
      </c>
      <c r="H183">
        <v>791916.83114999998</v>
      </c>
    </row>
    <row r="184" spans="1:8" x14ac:dyDescent="0.35">
      <c r="A184" t="s">
        <v>79</v>
      </c>
      <c r="B184">
        <v>24482381</v>
      </c>
      <c r="C184">
        <v>24283441.600000001</v>
      </c>
      <c r="D184">
        <v>23139435.495999999</v>
      </c>
      <c r="E184">
        <v>25548268.52</v>
      </c>
      <c r="F184">
        <v>24350593.359999999</v>
      </c>
      <c r="G184">
        <v>25679360</v>
      </c>
      <c r="H184">
        <v>28240876.16</v>
      </c>
    </row>
    <row r="185" spans="1:8" x14ac:dyDescent="0.35">
      <c r="A185" t="s">
        <v>232</v>
      </c>
      <c r="B185">
        <v>589325.66</v>
      </c>
      <c r="C185">
        <v>587915.79</v>
      </c>
      <c r="D185">
        <v>516012.42</v>
      </c>
      <c r="E185">
        <v>521651.9</v>
      </c>
      <c r="F185">
        <v>501913.72</v>
      </c>
      <c r="G185">
        <v>503323.59</v>
      </c>
      <c r="H185">
        <v>596375.01</v>
      </c>
    </row>
    <row r="186" spans="1:8" x14ac:dyDescent="0.35">
      <c r="A186" t="s">
        <v>229</v>
      </c>
      <c r="B186">
        <v>353786.94764000003</v>
      </c>
      <c r="C186">
        <v>338571.29823999997</v>
      </c>
      <c r="D186">
        <v>328321.23800000001</v>
      </c>
      <c r="E186">
        <v>376048.71555999998</v>
      </c>
      <c r="F186">
        <v>384694.85571999999</v>
      </c>
      <c r="G186">
        <v>408397.80407999997</v>
      </c>
      <c r="H186">
        <v>325119.1384</v>
      </c>
    </row>
    <row r="187" spans="1:8" x14ac:dyDescent="0.35">
      <c r="A187" t="s">
        <v>230</v>
      </c>
      <c r="B187">
        <v>638110.79252000002</v>
      </c>
      <c r="C187">
        <v>604378.06339999998</v>
      </c>
      <c r="D187">
        <v>427611.83552000002</v>
      </c>
      <c r="E187">
        <v>548580.97320000001</v>
      </c>
      <c r="F187">
        <v>500755.96528</v>
      </c>
      <c r="G187">
        <v>517635.37984000001</v>
      </c>
      <c r="H187">
        <v>579526.56655999995</v>
      </c>
    </row>
    <row r="188" spans="1:8" x14ac:dyDescent="0.35">
      <c r="A188" t="s">
        <v>226</v>
      </c>
      <c r="B188">
        <v>41746174.361000001</v>
      </c>
      <c r="C188">
        <v>41231636.468000002</v>
      </c>
      <c r="D188">
        <v>37663881.816</v>
      </c>
      <c r="E188">
        <v>37749481.546999998</v>
      </c>
      <c r="F188">
        <v>29754466.635000002</v>
      </c>
      <c r="G188">
        <v>32632660.344000001</v>
      </c>
      <c r="H188">
        <v>33985930.773000002</v>
      </c>
    </row>
    <row r="189" spans="1:8" x14ac:dyDescent="0.35">
      <c r="A189" t="s">
        <v>234</v>
      </c>
      <c r="B189">
        <v>36828280.185000002</v>
      </c>
      <c r="C189">
        <v>35995479.880000003</v>
      </c>
      <c r="D189">
        <v>33016421.278000001</v>
      </c>
      <c r="E189">
        <v>33904755.483000003</v>
      </c>
      <c r="F189">
        <v>31332287.682</v>
      </c>
      <c r="G189">
        <v>30019148.894000001</v>
      </c>
      <c r="H189">
        <v>35904530.736000001</v>
      </c>
    </row>
    <row r="190" spans="1:8" x14ac:dyDescent="0.35">
      <c r="A190" t="s">
        <v>236</v>
      </c>
      <c r="B190">
        <v>28935657.765999999</v>
      </c>
      <c r="C190">
        <v>27282191.607999999</v>
      </c>
      <c r="D190">
        <v>22321970.949999999</v>
      </c>
      <c r="E190">
        <v>20255121.787999999</v>
      </c>
      <c r="F190">
        <v>17051505.587000001</v>
      </c>
      <c r="G190">
        <v>19118354.749000002</v>
      </c>
      <c r="H190">
        <v>18704984.916000001</v>
      </c>
    </row>
    <row r="191" spans="1:8" x14ac:dyDescent="0.35">
      <c r="A191" t="s">
        <v>242</v>
      </c>
      <c r="B191">
        <v>1786012.81</v>
      </c>
      <c r="C191">
        <v>1672764.97</v>
      </c>
      <c r="D191">
        <v>1592667.78</v>
      </c>
      <c r="E191">
        <v>1704761.7</v>
      </c>
      <c r="F191">
        <v>1697755.83</v>
      </c>
      <c r="G191">
        <v>1670513.74</v>
      </c>
      <c r="H191">
        <v>1860502.82</v>
      </c>
    </row>
    <row r="192" spans="1:8" x14ac:dyDescent="0.35">
      <c r="A192" t="s">
        <v>80</v>
      </c>
      <c r="B192">
        <v>3361275</v>
      </c>
      <c r="C192">
        <v>3242554</v>
      </c>
      <c r="D192">
        <v>3054363.72</v>
      </c>
      <c r="E192">
        <v>2882815.92</v>
      </c>
      <c r="F192">
        <v>2866731.46</v>
      </c>
      <c r="G192">
        <v>2719959.4</v>
      </c>
      <c r="H192">
        <v>2855079.86</v>
      </c>
    </row>
    <row r="193" spans="1:8" x14ac:dyDescent="0.35">
      <c r="A193" t="s">
        <v>185</v>
      </c>
      <c r="B193">
        <v>3361275</v>
      </c>
      <c r="C193">
        <v>3242554</v>
      </c>
      <c r="D193">
        <v>3054363.72</v>
      </c>
      <c r="E193">
        <v>2882815.92</v>
      </c>
      <c r="F193">
        <v>2866731.46</v>
      </c>
      <c r="G193">
        <v>2719959.4</v>
      </c>
      <c r="H193">
        <v>2855079.86</v>
      </c>
    </row>
    <row r="194" spans="1:8" x14ac:dyDescent="0.35">
      <c r="A194" t="s">
        <v>237</v>
      </c>
      <c r="B194">
        <v>65827589.968999997</v>
      </c>
      <c r="C194">
        <v>60648375.634999998</v>
      </c>
      <c r="D194">
        <v>56435440.130000003</v>
      </c>
      <c r="E194">
        <v>62740579.783</v>
      </c>
      <c r="F194">
        <v>60365051.814999998</v>
      </c>
      <c r="G194">
        <v>62284449.105999999</v>
      </c>
      <c r="H194">
        <v>70721562.423999995</v>
      </c>
    </row>
    <row r="195" spans="1:8" x14ac:dyDescent="0.35">
      <c r="A195" t="s">
        <v>238</v>
      </c>
      <c r="B195">
        <v>4976824.2461999999</v>
      </c>
      <c r="C195">
        <v>4847860.6025999999</v>
      </c>
      <c r="D195">
        <v>4751137.8699000003</v>
      </c>
      <c r="E195">
        <v>4686656.0481000002</v>
      </c>
      <c r="F195">
        <v>4657346.1290999996</v>
      </c>
      <c r="G195">
        <v>4830237.4430999998</v>
      </c>
      <c r="H195">
        <v>3761082.3996000001</v>
      </c>
    </row>
    <row r="196" spans="1:8" x14ac:dyDescent="0.35">
      <c r="A196" t="s">
        <v>239</v>
      </c>
      <c r="B196">
        <v>44569783.516999997</v>
      </c>
      <c r="C196">
        <v>39860363.269000001</v>
      </c>
      <c r="D196">
        <v>33930788.254000001</v>
      </c>
      <c r="E196">
        <v>33361762.612</v>
      </c>
      <c r="F196">
        <v>29610408.383000001</v>
      </c>
      <c r="G196">
        <v>35395502.405000001</v>
      </c>
      <c r="H196">
        <v>45269151.035999998</v>
      </c>
    </row>
    <row r="197" spans="1:8" x14ac:dyDescent="0.35">
      <c r="A197" t="s">
        <v>225</v>
      </c>
      <c r="B197">
        <v>941024.54469999997</v>
      </c>
      <c r="C197">
        <v>861829.40974999999</v>
      </c>
      <c r="D197">
        <v>786361.10467999999</v>
      </c>
      <c r="E197">
        <v>887917.21891000005</v>
      </c>
      <c r="F197">
        <v>864624.53215999994</v>
      </c>
      <c r="G197">
        <v>842263.55287999997</v>
      </c>
      <c r="H197">
        <v>853444.04252000002</v>
      </c>
    </row>
    <row r="198" spans="1:8" x14ac:dyDescent="0.35">
      <c r="A198" t="s">
        <v>195</v>
      </c>
      <c r="B198">
        <v>363234.69695999997</v>
      </c>
      <c r="C198">
        <v>343135.95328000002</v>
      </c>
      <c r="D198">
        <v>333906.31871999998</v>
      </c>
      <c r="E198">
        <v>358255.55200000003</v>
      </c>
      <c r="F198">
        <v>412904.70400000003</v>
      </c>
      <c r="G198">
        <v>428570.79424000002</v>
      </c>
      <c r="H198">
        <v>423834.5344</v>
      </c>
    </row>
    <row r="199" spans="1:8" x14ac:dyDescent="0.35">
      <c r="A199" t="s">
        <v>241</v>
      </c>
      <c r="B199">
        <v>101857744.83</v>
      </c>
      <c r="C199">
        <v>93537239.010000005</v>
      </c>
      <c r="D199">
        <v>88905868.939999998</v>
      </c>
      <c r="E199">
        <v>95323925.340000004</v>
      </c>
      <c r="F199">
        <v>94340287.930000007</v>
      </c>
      <c r="G199">
        <v>99645869.5</v>
      </c>
      <c r="H199">
        <v>110250340.55</v>
      </c>
    </row>
    <row r="200" spans="1:8" x14ac:dyDescent="0.35">
      <c r="A200" t="s">
        <v>240</v>
      </c>
      <c r="B200">
        <v>8175621.8241999997</v>
      </c>
      <c r="C200">
        <v>9067233.0985000003</v>
      </c>
      <c r="D200">
        <v>8213827.2982999999</v>
      </c>
      <c r="E200">
        <v>7838119.2884</v>
      </c>
      <c r="F200">
        <v>8271331.5698999995</v>
      </c>
      <c r="G200">
        <v>8251182.1544000003</v>
      </c>
      <c r="H200">
        <v>9223391.0237000007</v>
      </c>
    </row>
    <row r="201" spans="1:8" x14ac:dyDescent="0.35">
      <c r="A201" t="s">
        <v>244</v>
      </c>
      <c r="B201">
        <v>8175621.8241999997</v>
      </c>
      <c r="C201">
        <v>9067233.0985000003</v>
      </c>
      <c r="D201">
        <v>8213827.2982999999</v>
      </c>
      <c r="E201">
        <v>7838119.2884</v>
      </c>
      <c r="F201">
        <v>8271331.5698999995</v>
      </c>
      <c r="G201">
        <v>8251182.1544000003</v>
      </c>
      <c r="H201">
        <v>9223391.0237000007</v>
      </c>
    </row>
    <row r="202" spans="1:8" x14ac:dyDescent="0.35">
      <c r="A202" t="s">
        <v>82</v>
      </c>
      <c r="B202">
        <v>3532620.9064000002</v>
      </c>
      <c r="C202">
        <v>3003799.7837999999</v>
      </c>
      <c r="D202">
        <v>2577184.2656</v>
      </c>
      <c r="E202">
        <v>2884907.76</v>
      </c>
      <c r="F202">
        <v>2365624.3632</v>
      </c>
      <c r="G202">
        <v>2722030.7096000002</v>
      </c>
      <c r="H202">
        <v>2464227.4597999998</v>
      </c>
    </row>
    <row r="203" spans="1:8" x14ac:dyDescent="0.35">
      <c r="A203" t="s">
        <v>243</v>
      </c>
      <c r="B203">
        <v>62937588.737000003</v>
      </c>
      <c r="C203">
        <v>63552747.619999997</v>
      </c>
      <c r="D203">
        <v>60490623.406000003</v>
      </c>
      <c r="E203">
        <v>65364048.773000002</v>
      </c>
      <c r="F203">
        <v>64919767.358000003</v>
      </c>
      <c r="G203">
        <v>69718006.637999997</v>
      </c>
      <c r="H203">
        <v>77844938.980000004</v>
      </c>
    </row>
    <row r="204" spans="1:8" x14ac:dyDescent="0.35">
      <c r="A204" t="s">
        <v>178</v>
      </c>
      <c r="B204">
        <v>1295884</v>
      </c>
      <c r="C204">
        <v>1180630.6000000001</v>
      </c>
      <c r="D204">
        <v>1109178.8761</v>
      </c>
      <c r="E204">
        <v>1044133.54</v>
      </c>
      <c r="F204">
        <v>1075652.3899999999</v>
      </c>
      <c r="G204">
        <v>1029981.47</v>
      </c>
      <c r="H204">
        <v>1057462.9099999999</v>
      </c>
    </row>
    <row r="205" spans="1:8" x14ac:dyDescent="0.35">
      <c r="A205" t="s">
        <v>81</v>
      </c>
      <c r="B205">
        <v>886344.62</v>
      </c>
      <c r="C205">
        <v>778717.05900000001</v>
      </c>
      <c r="D205">
        <v>569792.97</v>
      </c>
      <c r="E205">
        <v>643232.95279999997</v>
      </c>
      <c r="F205">
        <v>533072.97860000003</v>
      </c>
      <c r="G205">
        <v>617041.92414999998</v>
      </c>
      <c r="H205">
        <v>762078.58261000004</v>
      </c>
    </row>
    <row r="206" spans="1:8" x14ac:dyDescent="0.35">
      <c r="A206" t="s">
        <v>246</v>
      </c>
      <c r="B206">
        <v>86357.625799999994</v>
      </c>
      <c r="C206">
        <v>80959.766399999993</v>
      </c>
      <c r="D206">
        <v>57242.69354</v>
      </c>
      <c r="E206">
        <v>82341.589699999997</v>
      </c>
      <c r="F206">
        <v>69222.421619999994</v>
      </c>
      <c r="G206">
        <v>72490.269350000002</v>
      </c>
      <c r="H206">
        <v>67539.714370000002</v>
      </c>
    </row>
    <row r="207" spans="1:8" x14ac:dyDescent="0.35">
      <c r="A207" t="s">
        <v>250</v>
      </c>
    </row>
    <row r="208" spans="1:8" x14ac:dyDescent="0.35">
      <c r="A208" t="s">
        <v>249</v>
      </c>
      <c r="B208">
        <v>2242894.1123000002</v>
      </c>
      <c r="C208">
        <v>2000032.9664</v>
      </c>
      <c r="D208">
        <v>2042917.398</v>
      </c>
      <c r="E208">
        <v>2196463.3919000002</v>
      </c>
      <c r="F208">
        <v>2107176.2620999999</v>
      </c>
      <c r="G208">
        <v>1992888.736</v>
      </c>
      <c r="H208">
        <v>1957173.8840999999</v>
      </c>
    </row>
    <row r="209" spans="1:8" x14ac:dyDescent="0.35">
      <c r="A209" t="s">
        <v>255</v>
      </c>
      <c r="B209">
        <v>4611839.8650000002</v>
      </c>
      <c r="C209">
        <v>3982560.7807</v>
      </c>
      <c r="D209">
        <v>3018460.8319999999</v>
      </c>
      <c r="E209">
        <v>3130255.6776000001</v>
      </c>
      <c r="F209">
        <v>2683076.2951000002</v>
      </c>
      <c r="G209">
        <v>3465248.7771000001</v>
      </c>
      <c r="H209">
        <v>4574811.1934000002</v>
      </c>
    </row>
    <row r="210" spans="1:8" x14ac:dyDescent="0.35">
      <c r="A210" t="s">
        <v>248</v>
      </c>
      <c r="B210">
        <v>7483187.3230999997</v>
      </c>
      <c r="C210">
        <v>7659158.8063000003</v>
      </c>
      <c r="D210">
        <v>7712549.7750000004</v>
      </c>
      <c r="E210">
        <v>7884429.4556999998</v>
      </c>
      <c r="F210">
        <v>7950537.0252</v>
      </c>
      <c r="G210">
        <v>8200504.8216000004</v>
      </c>
      <c r="H210">
        <v>8725160.7752999999</v>
      </c>
    </row>
    <row r="211" spans="1:8" x14ac:dyDescent="0.35">
      <c r="A211" t="s">
        <v>83</v>
      </c>
    </row>
    <row r="212" spans="1:8" x14ac:dyDescent="0.35">
      <c r="A212" t="s">
        <v>253</v>
      </c>
    </row>
    <row r="213" spans="1:8" x14ac:dyDescent="0.35">
      <c r="A213" t="s">
        <v>482</v>
      </c>
      <c r="B213">
        <v>12809394.014</v>
      </c>
      <c r="C213">
        <v>10681334.505000001</v>
      </c>
      <c r="D213">
        <v>9942669.2214000002</v>
      </c>
      <c r="E213">
        <v>11496211.287</v>
      </c>
      <c r="F213">
        <v>10458562.435000001</v>
      </c>
      <c r="G213">
        <v>12195846.082</v>
      </c>
      <c r="H213">
        <v>14602763.795</v>
      </c>
    </row>
    <row r="214" spans="1:8" x14ac:dyDescent="0.35">
      <c r="A214" t="s">
        <v>483</v>
      </c>
      <c r="B214">
        <v>8417264.1000999995</v>
      </c>
      <c r="C214">
        <v>8443858.9313999992</v>
      </c>
      <c r="D214">
        <v>7683980.3327000001</v>
      </c>
      <c r="E214">
        <v>7730229.5694000004</v>
      </c>
      <c r="F214">
        <v>6993545.2984999996</v>
      </c>
      <c r="G214">
        <v>6801560.2736999998</v>
      </c>
      <c r="H214">
        <v>6410552.7023999998</v>
      </c>
    </row>
    <row r="215" spans="1:8" x14ac:dyDescent="0.35">
      <c r="A215" t="s">
        <v>254</v>
      </c>
      <c r="B215">
        <v>1678338.9828000001</v>
      </c>
      <c r="C215">
        <v>1515223.3066</v>
      </c>
      <c r="D215">
        <v>1379011.5776</v>
      </c>
      <c r="E215">
        <v>1462236.1392999999</v>
      </c>
      <c r="F215">
        <v>1349239.0503</v>
      </c>
      <c r="G215">
        <v>1399011.5776</v>
      </c>
      <c r="H215">
        <v>1389595.1535</v>
      </c>
    </row>
    <row r="216" spans="1:8" x14ac:dyDescent="0.35">
      <c r="A216" t="s">
        <v>247</v>
      </c>
      <c r="B216">
        <v>5168363.0718</v>
      </c>
      <c r="C216">
        <v>3929201.3232999998</v>
      </c>
      <c r="D216">
        <v>3424785.9304999998</v>
      </c>
      <c r="E216">
        <v>4022566.7475000001</v>
      </c>
      <c r="F216">
        <v>5093590.7111999998</v>
      </c>
      <c r="G216">
        <v>4788473.4192000004</v>
      </c>
      <c r="H216">
        <v>6102345.8398000002</v>
      </c>
    </row>
    <row r="217" spans="1:8" x14ac:dyDescent="0.35">
      <c r="A217" t="s">
        <v>110</v>
      </c>
      <c r="B217">
        <v>10909591.92</v>
      </c>
      <c r="C217">
        <v>11073710.880000001</v>
      </c>
      <c r="D217">
        <v>11293113</v>
      </c>
      <c r="E217">
        <v>11353320</v>
      </c>
      <c r="F217">
        <v>11490936</v>
      </c>
      <c r="G217">
        <v>11441542.199999999</v>
      </c>
      <c r="H217">
        <v>11639254.800000001</v>
      </c>
    </row>
    <row r="218" spans="1:8" x14ac:dyDescent="0.35">
      <c r="A218" t="s">
        <v>251</v>
      </c>
      <c r="B218">
        <v>74069484.060000002</v>
      </c>
      <c r="C218">
        <v>77328690.067000002</v>
      </c>
      <c r="D218">
        <v>76560360.134000003</v>
      </c>
      <c r="E218">
        <v>77279120.393999994</v>
      </c>
      <c r="F218">
        <v>69781707.334999993</v>
      </c>
      <c r="G218">
        <v>65574749.656999998</v>
      </c>
      <c r="H218">
        <v>62032177.234999999</v>
      </c>
    </row>
    <row r="219" spans="1:8" x14ac:dyDescent="0.35">
      <c r="A219" t="s">
        <v>245</v>
      </c>
      <c r="B219">
        <v>12004797.210000001</v>
      </c>
      <c r="C219">
        <v>11730180.85</v>
      </c>
      <c r="D219">
        <v>11346297.550000001</v>
      </c>
      <c r="E219">
        <v>11395023.880000001</v>
      </c>
      <c r="F219">
        <v>11319740.67</v>
      </c>
      <c r="G219">
        <v>11678516.1</v>
      </c>
      <c r="H219">
        <v>12354716.98</v>
      </c>
    </row>
    <row r="220" spans="1:8" x14ac:dyDescent="0.35">
      <c r="A220" t="s">
        <v>84</v>
      </c>
      <c r="B220">
        <v>1203582.3995000001</v>
      </c>
      <c r="C220">
        <v>1161990.5578999999</v>
      </c>
      <c r="D220">
        <v>1066684.5219000001</v>
      </c>
      <c r="E220">
        <v>1022249.4303</v>
      </c>
      <c r="F220">
        <v>1011085.3712000001</v>
      </c>
      <c r="G220">
        <v>1031566.5936</v>
      </c>
      <c r="H220">
        <v>1075002.1963</v>
      </c>
    </row>
    <row r="221" spans="1:8" x14ac:dyDescent="0.35">
      <c r="A221" t="s">
        <v>85</v>
      </c>
      <c r="B221">
        <v>100121.84</v>
      </c>
      <c r="C221">
        <v>100858.03</v>
      </c>
      <c r="D221">
        <v>92023.75</v>
      </c>
      <c r="E221">
        <v>117790.39999999999</v>
      </c>
      <c r="F221">
        <v>99385.65</v>
      </c>
      <c r="G221">
        <v>108956.12</v>
      </c>
      <c r="H221">
        <v>95704.7</v>
      </c>
    </row>
    <row r="222" spans="1:8" x14ac:dyDescent="0.35">
      <c r="A222" t="s">
        <v>86</v>
      </c>
      <c r="B222">
        <v>1847640.94</v>
      </c>
      <c r="C222">
        <v>1724546.94</v>
      </c>
      <c r="D222">
        <v>1531289.36</v>
      </c>
      <c r="E222">
        <v>1761444.5092</v>
      </c>
      <c r="F222">
        <v>1805572.5554</v>
      </c>
      <c r="G222">
        <v>1691576.4</v>
      </c>
      <c r="H222">
        <v>1979634.7</v>
      </c>
    </row>
    <row r="223" spans="1:8" x14ac:dyDescent="0.35">
      <c r="A223" t="s">
        <v>257</v>
      </c>
      <c r="B223">
        <v>1661067.2104</v>
      </c>
      <c r="C223">
        <v>1419865.0891</v>
      </c>
      <c r="D223">
        <v>1391655.8489000001</v>
      </c>
      <c r="E223">
        <v>1515463.0697000001</v>
      </c>
      <c r="F223">
        <v>1538970.7697999999</v>
      </c>
      <c r="G223">
        <v>1705091.8509</v>
      </c>
      <c r="H223">
        <v>1810092.9116</v>
      </c>
    </row>
    <row r="224" spans="1:8" x14ac:dyDescent="0.35">
      <c r="A224" t="s">
        <v>260</v>
      </c>
      <c r="B224">
        <v>1946483.0294000001</v>
      </c>
      <c r="C224">
        <v>2017695.8232</v>
      </c>
      <c r="D224">
        <v>1887798.4124</v>
      </c>
      <c r="E224">
        <v>1995936.3584</v>
      </c>
      <c r="F224">
        <v>2129790.0356000001</v>
      </c>
      <c r="G224">
        <v>2218806.0277999998</v>
      </c>
      <c r="H224">
        <v>2351340.9495000001</v>
      </c>
    </row>
    <row r="225" spans="1:8" x14ac:dyDescent="0.35">
      <c r="A225" t="s">
        <v>263</v>
      </c>
      <c r="B225">
        <v>40130408.344999999</v>
      </c>
      <c r="C225">
        <v>38339304.473999999</v>
      </c>
      <c r="D225">
        <v>35050332.568999998</v>
      </c>
      <c r="E225">
        <v>37858232.140000001</v>
      </c>
      <c r="F225">
        <v>39141151.770999998</v>
      </c>
      <c r="G225">
        <v>43556477.004000001</v>
      </c>
      <c r="H225">
        <v>45855291.068000004</v>
      </c>
    </row>
    <row r="226" spans="1:8" x14ac:dyDescent="0.35">
      <c r="A226" t="s">
        <v>258</v>
      </c>
      <c r="B226">
        <v>17685808.934999999</v>
      </c>
      <c r="C226">
        <v>16275211.573999999</v>
      </c>
      <c r="D226">
        <v>15672537.705</v>
      </c>
      <c r="E226">
        <v>19105848.769000001</v>
      </c>
      <c r="F226">
        <v>20482688.530000001</v>
      </c>
      <c r="G226">
        <v>19551773.452</v>
      </c>
      <c r="H226">
        <v>22041885.443999998</v>
      </c>
    </row>
    <row r="227" spans="1:8" x14ac:dyDescent="0.35">
      <c r="A227" t="s">
        <v>261</v>
      </c>
      <c r="B227">
        <v>958098.35</v>
      </c>
      <c r="C227">
        <v>959909.5</v>
      </c>
      <c r="D227">
        <v>792115.38</v>
      </c>
      <c r="E227">
        <v>964548.66</v>
      </c>
      <c r="F227">
        <v>1002268.44</v>
      </c>
      <c r="G227">
        <v>1122612.5</v>
      </c>
      <c r="H227">
        <v>1250141.28</v>
      </c>
    </row>
    <row r="228" spans="1:8" x14ac:dyDescent="0.35">
      <c r="A228" t="s">
        <v>262</v>
      </c>
      <c r="B228">
        <v>17709243.863000002</v>
      </c>
      <c r="C228">
        <v>17832518.596000001</v>
      </c>
      <c r="D228">
        <v>17090279.059999999</v>
      </c>
      <c r="E228">
        <v>17988482.896000002</v>
      </c>
      <c r="F228">
        <v>17465666.488000002</v>
      </c>
      <c r="G228">
        <v>17087321.390999999</v>
      </c>
      <c r="H228">
        <v>17883009.206</v>
      </c>
    </row>
    <row r="229" spans="1:8" x14ac:dyDescent="0.35">
      <c r="A229" t="s">
        <v>264</v>
      </c>
    </row>
    <row r="230" spans="1:8" x14ac:dyDescent="0.35">
      <c r="A230" t="s">
        <v>187</v>
      </c>
      <c r="B230">
        <v>5664397.5599999996</v>
      </c>
      <c r="C230">
        <v>6785320.5599999996</v>
      </c>
      <c r="D230">
        <v>6845098.2697999999</v>
      </c>
      <c r="E230">
        <v>8020821.1167000001</v>
      </c>
      <c r="F230">
        <v>7313394.6579999998</v>
      </c>
      <c r="G230">
        <v>7215446.8770000003</v>
      </c>
      <c r="H230">
        <v>8066959.2413999997</v>
      </c>
    </row>
    <row r="231" spans="1:8" x14ac:dyDescent="0.35">
      <c r="A231" t="s">
        <v>256</v>
      </c>
      <c r="B231">
        <v>3339376.9</v>
      </c>
      <c r="C231">
        <v>2957529.52</v>
      </c>
      <c r="D231">
        <v>3071561.0507999999</v>
      </c>
      <c r="E231">
        <v>2989991.97</v>
      </c>
      <c r="F231">
        <v>2811220.2</v>
      </c>
      <c r="G231">
        <v>2457091</v>
      </c>
      <c r="H231">
        <v>2895857.25</v>
      </c>
    </row>
    <row r="232" spans="1:8" x14ac:dyDescent="0.35">
      <c r="A232" t="s">
        <v>92</v>
      </c>
      <c r="B232">
        <v>142746.54624</v>
      </c>
      <c r="C232">
        <v>137459.63712</v>
      </c>
      <c r="D232">
        <v>125564.0916</v>
      </c>
      <c r="E232">
        <v>102433.8642</v>
      </c>
      <c r="F232">
        <v>95164.364159999997</v>
      </c>
      <c r="G232">
        <v>97807.818719999996</v>
      </c>
      <c r="H232">
        <v>111025.09152</v>
      </c>
    </row>
    <row r="233" spans="1:8" x14ac:dyDescent="0.35">
      <c r="A233" t="s">
        <v>87</v>
      </c>
      <c r="B233">
        <v>23060131.872000001</v>
      </c>
      <c r="C233">
        <v>19803674.761999998</v>
      </c>
      <c r="D233">
        <v>17406957.787999999</v>
      </c>
      <c r="E233">
        <v>18722345.026999999</v>
      </c>
      <c r="F233">
        <v>18229074.811999999</v>
      </c>
      <c r="G233">
        <v>18638765</v>
      </c>
      <c r="H233">
        <v>19423096.432</v>
      </c>
    </row>
    <row r="234" spans="1:8" x14ac:dyDescent="0.35">
      <c r="A234" t="s">
        <v>266</v>
      </c>
      <c r="B234">
        <v>5076792.6275000004</v>
      </c>
      <c r="C234">
        <v>5803640.7432000004</v>
      </c>
      <c r="D234">
        <v>5326416.7969000004</v>
      </c>
      <c r="E234">
        <v>5521151.2045</v>
      </c>
      <c r="F234">
        <v>5131519.9738999996</v>
      </c>
      <c r="G234">
        <v>6077986.8309000004</v>
      </c>
      <c r="H234">
        <v>5945051.9819999998</v>
      </c>
    </row>
    <row r="235" spans="1:8" x14ac:dyDescent="0.35">
      <c r="A235" t="s">
        <v>265</v>
      </c>
      <c r="B235">
        <v>7967874.8158999998</v>
      </c>
      <c r="C235">
        <v>7537391.4687999999</v>
      </c>
      <c r="D235">
        <v>6548614.9512</v>
      </c>
      <c r="E235">
        <v>6879612.9855000004</v>
      </c>
      <c r="F235">
        <v>6993545.8871999998</v>
      </c>
      <c r="G235">
        <v>6942902.8169</v>
      </c>
      <c r="H235">
        <v>6793242.2298999997</v>
      </c>
    </row>
    <row r="236" spans="1:8" x14ac:dyDescent="0.35">
      <c r="A236" t="s">
        <v>268</v>
      </c>
      <c r="B236">
        <v>7967874.8158999998</v>
      </c>
      <c r="C236">
        <v>7537391.4687999999</v>
      </c>
      <c r="D236">
        <v>6548614.9512</v>
      </c>
      <c r="E236">
        <v>6879612.9855000004</v>
      </c>
      <c r="F236">
        <v>6993545.8871999998</v>
      </c>
      <c r="G236">
        <v>6942902.8169</v>
      </c>
      <c r="H236">
        <v>6793242.2298999997</v>
      </c>
    </row>
    <row r="237" spans="1:8" x14ac:dyDescent="0.35">
      <c r="A237" t="s">
        <v>88</v>
      </c>
      <c r="B237">
        <v>264936561.08000001</v>
      </c>
      <c r="C237">
        <v>250934113.13</v>
      </c>
      <c r="D237">
        <v>232858676.65000001</v>
      </c>
      <c r="E237">
        <v>234907662.25999999</v>
      </c>
      <c r="F237">
        <v>235419908.66</v>
      </c>
      <c r="G237">
        <v>242039826.68000001</v>
      </c>
      <c r="H237">
        <v>225647711.43000001</v>
      </c>
    </row>
    <row r="238" spans="1:8" x14ac:dyDescent="0.35">
      <c r="A238" t="s">
        <v>269</v>
      </c>
      <c r="B238">
        <v>6799694.6577000003</v>
      </c>
      <c r="C238">
        <v>5969178.3891000003</v>
      </c>
      <c r="D238">
        <v>5132534.3008000003</v>
      </c>
      <c r="E238">
        <v>5262198.3251999998</v>
      </c>
      <c r="F238">
        <v>4116832.7760000001</v>
      </c>
      <c r="G238">
        <v>4690886.8114</v>
      </c>
      <c r="H238">
        <v>5257212.5539999995</v>
      </c>
    </row>
    <row r="239" spans="1:8" x14ac:dyDescent="0.35">
      <c r="A239" t="s">
        <v>89</v>
      </c>
      <c r="B239">
        <v>24864428.07</v>
      </c>
      <c r="C239">
        <v>22992073.109999999</v>
      </c>
      <c r="D239">
        <v>19882876.239999998</v>
      </c>
      <c r="E239">
        <v>19793715.359999999</v>
      </c>
      <c r="F239">
        <v>18968977.219999999</v>
      </c>
      <c r="G239">
        <v>19816005.579999998</v>
      </c>
      <c r="H239">
        <v>20952806.800000001</v>
      </c>
    </row>
    <row r="240" spans="1:8" x14ac:dyDescent="0.35">
      <c r="A240" t="s">
        <v>90</v>
      </c>
      <c r="B240">
        <v>827854.46268999996</v>
      </c>
      <c r="C240">
        <v>797805.29888999998</v>
      </c>
      <c r="D240">
        <v>810049.89060000004</v>
      </c>
      <c r="E240">
        <v>829551.09166999999</v>
      </c>
      <c r="F240">
        <v>802549.42865000002</v>
      </c>
      <c r="G240">
        <v>790631.41669999994</v>
      </c>
      <c r="H240">
        <v>775713.84279999998</v>
      </c>
    </row>
    <row r="241" spans="1:8" x14ac:dyDescent="0.35">
      <c r="A241" t="s">
        <v>271</v>
      </c>
      <c r="B241">
        <v>6008345.2695000004</v>
      </c>
      <c r="C241">
        <v>5388007.7055000002</v>
      </c>
      <c r="D241">
        <v>4524966.1957</v>
      </c>
      <c r="E241">
        <v>5173740.5697999997</v>
      </c>
      <c r="F241">
        <v>4010177.8336999998</v>
      </c>
      <c r="G241">
        <v>4675437.7780999998</v>
      </c>
      <c r="H241">
        <v>5197281.5119000003</v>
      </c>
    </row>
    <row r="242" spans="1:8" x14ac:dyDescent="0.35">
      <c r="A242" t="s">
        <v>273</v>
      </c>
      <c r="B242">
        <v>85940932.770999998</v>
      </c>
      <c r="C242">
        <v>80847169.277999997</v>
      </c>
      <c r="D242">
        <v>76079945.388999999</v>
      </c>
      <c r="E242">
        <v>83871755.062000006</v>
      </c>
      <c r="F242">
        <v>78633837.077000007</v>
      </c>
      <c r="G242">
        <v>80726683.092999995</v>
      </c>
      <c r="H242">
        <v>90041923.466000006</v>
      </c>
    </row>
    <row r="243" spans="1:8" x14ac:dyDescent="0.35">
      <c r="A243" t="s">
        <v>274</v>
      </c>
      <c r="B243">
        <v>1914385.5511</v>
      </c>
      <c r="C243">
        <v>1961506.4302999999</v>
      </c>
      <c r="D243">
        <v>1923211.2771000001</v>
      </c>
      <c r="E243">
        <v>1859104.2345</v>
      </c>
      <c r="F243">
        <v>2035596.4628000001</v>
      </c>
      <c r="G243">
        <v>1839567.0639</v>
      </c>
      <c r="H243">
        <v>1947360.3435</v>
      </c>
    </row>
    <row r="244" spans="1:8" x14ac:dyDescent="0.35">
      <c r="A244" t="s">
        <v>259</v>
      </c>
      <c r="B244">
        <v>1187425.9878</v>
      </c>
      <c r="C244">
        <v>945915.61739999999</v>
      </c>
      <c r="D244">
        <v>823299.57247999997</v>
      </c>
      <c r="E244">
        <v>769838.56128000002</v>
      </c>
      <c r="F244">
        <v>756473.30848000001</v>
      </c>
      <c r="G244">
        <v>895471.93759999995</v>
      </c>
      <c r="H244">
        <v>1023778.3644</v>
      </c>
    </row>
    <row r="245" spans="1:8" x14ac:dyDescent="0.35">
      <c r="A245" t="s">
        <v>270</v>
      </c>
      <c r="B245">
        <v>4469524</v>
      </c>
      <c r="C245">
        <v>4450470</v>
      </c>
      <c r="D245">
        <v>4217155.97</v>
      </c>
      <c r="E245">
        <v>4643487.9000000004</v>
      </c>
      <c r="F245">
        <v>4287758.71</v>
      </c>
      <c r="G245">
        <v>4292338.5999999996</v>
      </c>
      <c r="H245">
        <v>4564005.5999999996</v>
      </c>
    </row>
    <row r="246" spans="1:8" x14ac:dyDescent="0.35">
      <c r="A246" t="s">
        <v>272</v>
      </c>
      <c r="B246">
        <v>653723.19756</v>
      </c>
      <c r="C246">
        <v>625300.44984000002</v>
      </c>
      <c r="D246">
        <v>647407.03139999998</v>
      </c>
      <c r="E246">
        <v>495819.04356000002</v>
      </c>
      <c r="F246">
        <v>420025.04963999998</v>
      </c>
      <c r="G246">
        <v>435815.46503999998</v>
      </c>
      <c r="H246">
        <v>363179.55420000001</v>
      </c>
    </row>
    <row r="247" spans="1:8" x14ac:dyDescent="0.35">
      <c r="A247" t="s">
        <v>276</v>
      </c>
      <c r="B247">
        <v>227019066.22999999</v>
      </c>
      <c r="C247">
        <v>226305829.47</v>
      </c>
      <c r="D247">
        <v>221398507.44</v>
      </c>
      <c r="E247">
        <v>235831156.02000001</v>
      </c>
      <c r="F247">
        <v>203147919.84</v>
      </c>
      <c r="G247">
        <v>189980054.74000001</v>
      </c>
      <c r="H247">
        <v>187294824.28</v>
      </c>
    </row>
    <row r="248" spans="1:8" x14ac:dyDescent="0.35">
      <c r="A248" t="s">
        <v>275</v>
      </c>
      <c r="B248">
        <v>929061.30842000002</v>
      </c>
      <c r="C248">
        <v>930660.38124000002</v>
      </c>
      <c r="D248">
        <v>890683.56073999999</v>
      </c>
      <c r="E248">
        <v>962641.83764000004</v>
      </c>
      <c r="F248">
        <v>964240.91046000004</v>
      </c>
      <c r="G248">
        <v>962641.83764000004</v>
      </c>
      <c r="H248">
        <v>954646.47354000004</v>
      </c>
    </row>
    <row r="249" spans="1:8" x14ac:dyDescent="0.35">
      <c r="A249" t="s">
        <v>278</v>
      </c>
      <c r="B249">
        <v>1062569.8899999999</v>
      </c>
      <c r="C249">
        <v>1035979.667</v>
      </c>
      <c r="D249">
        <v>1007098.317</v>
      </c>
      <c r="E249">
        <v>998578.23770000006</v>
      </c>
      <c r="F249">
        <v>1042131.1365</v>
      </c>
      <c r="G249">
        <v>1124849.1562999999</v>
      </c>
      <c r="H249">
        <v>1087683.6507000001</v>
      </c>
    </row>
    <row r="250" spans="1:8" x14ac:dyDescent="0.35">
      <c r="A250" t="s">
        <v>280</v>
      </c>
      <c r="B250">
        <v>3022481.31</v>
      </c>
      <c r="C250">
        <v>2635056.75</v>
      </c>
      <c r="D250">
        <v>2374488.9</v>
      </c>
      <c r="E250">
        <v>2877158.48</v>
      </c>
      <c r="F250">
        <v>2888267.2</v>
      </c>
      <c r="G250">
        <v>3024553.22</v>
      </c>
      <c r="H250">
        <v>3745308.97</v>
      </c>
    </row>
    <row r="251" spans="1:8" x14ac:dyDescent="0.35">
      <c r="A251" t="s">
        <v>281</v>
      </c>
      <c r="B251">
        <v>958997.69039999996</v>
      </c>
      <c r="C251">
        <v>1194751.2893000001</v>
      </c>
      <c r="D251">
        <v>901539.66682000004</v>
      </c>
      <c r="E251">
        <v>1224657.8659999999</v>
      </c>
      <c r="F251">
        <v>1061104.2095999999</v>
      </c>
      <c r="G251">
        <v>1180783.6758000001</v>
      </c>
      <c r="H251">
        <v>1252588.0885999999</v>
      </c>
    </row>
    <row r="252" spans="1:8" x14ac:dyDescent="0.35">
      <c r="A252" t="s">
        <v>91</v>
      </c>
      <c r="B252">
        <v>3022481.31</v>
      </c>
      <c r="C252">
        <v>2635056.75</v>
      </c>
      <c r="D252">
        <v>2374488.9</v>
      </c>
    </row>
    <row r="253" spans="1:8" x14ac:dyDescent="0.35">
      <c r="A253" t="s">
        <v>282</v>
      </c>
      <c r="B253">
        <v>958997.69039999996</v>
      </c>
      <c r="C253">
        <v>1194751.2893000001</v>
      </c>
      <c r="D253">
        <v>901539.66682000004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DA823-1CDB-4769-9B2E-10FADC2CE505}">
  <dimension ref="A1:I253"/>
  <sheetViews>
    <sheetView workbookViewId="0">
      <selection activeCell="B1" sqref="B1:H1"/>
    </sheetView>
  </sheetViews>
  <sheetFormatPr defaultRowHeight="14.5" x14ac:dyDescent="0.35"/>
  <cols>
    <col min="2" max="4" width="11.81640625" bestFit="1" customWidth="1"/>
    <col min="5" max="8" width="11.81640625" customWidth="1"/>
    <col min="9" max="9" width="11.81640625" bestFit="1" customWidth="1"/>
  </cols>
  <sheetData>
    <row r="1" spans="1:9" x14ac:dyDescent="0.35">
      <c r="B1" s="2">
        <v>45596</v>
      </c>
      <c r="C1" s="2">
        <v>45626</v>
      </c>
      <c r="D1" s="2">
        <v>45657</v>
      </c>
      <c r="E1" s="2">
        <v>45688</v>
      </c>
      <c r="F1" s="2">
        <v>45716</v>
      </c>
      <c r="G1" s="2">
        <v>45747</v>
      </c>
      <c r="H1" s="2">
        <v>45777</v>
      </c>
      <c r="I1" t="s">
        <v>497</v>
      </c>
    </row>
    <row r="2" spans="1:9" x14ac:dyDescent="0.35">
      <c r="A2" s="1" t="s">
        <v>46</v>
      </c>
      <c r="B2">
        <v>11202.825826</v>
      </c>
      <c r="C2">
        <v>13040.050523</v>
      </c>
      <c r="D2">
        <v>15339.600393000001</v>
      </c>
      <c r="E2">
        <v>11809.029135999999</v>
      </c>
      <c r="F2">
        <v>12951.976642</v>
      </c>
      <c r="G2">
        <v>12281.851032</v>
      </c>
      <c r="H2">
        <v>10607.934149999999</v>
      </c>
      <c r="I2">
        <v>9811.1593666999997</v>
      </c>
    </row>
    <row r="3" spans="1:9" x14ac:dyDescent="0.35">
      <c r="A3" t="s">
        <v>99</v>
      </c>
      <c r="B3">
        <v>403200.20669999998</v>
      </c>
      <c r="C3">
        <v>394065.96289999998</v>
      </c>
      <c r="D3">
        <v>454227.29333000001</v>
      </c>
      <c r="E3">
        <v>394830.50423000002</v>
      </c>
      <c r="F3">
        <v>400434.23229000001</v>
      </c>
      <c r="G3">
        <v>413974.25867000001</v>
      </c>
      <c r="H3">
        <v>550312.27324999997</v>
      </c>
      <c r="I3">
        <v>408095.64025</v>
      </c>
    </row>
    <row r="4" spans="1:9" x14ac:dyDescent="0.35">
      <c r="A4" t="s">
        <v>93</v>
      </c>
      <c r="B4">
        <v>1146.0416522</v>
      </c>
      <c r="C4">
        <v>1502.0500238</v>
      </c>
      <c r="D4">
        <v>3916.7683606999999</v>
      </c>
      <c r="E4">
        <v>9631.5969545000007</v>
      </c>
      <c r="F4">
        <v>6054.1410951999997</v>
      </c>
      <c r="G4">
        <v>4990.7250819999999</v>
      </c>
      <c r="H4">
        <v>1642.2337</v>
      </c>
      <c r="I4">
        <v>299.90640000000002</v>
      </c>
    </row>
    <row r="5" spans="1:9" x14ac:dyDescent="0.35">
      <c r="A5" t="s">
        <v>469</v>
      </c>
      <c r="B5">
        <v>85037.102260999993</v>
      </c>
      <c r="C5">
        <v>46567.936951999996</v>
      </c>
      <c r="D5">
        <v>32063.169705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5">
      <c r="A6" t="s">
        <v>113</v>
      </c>
      <c r="B6">
        <v>5640.1554348</v>
      </c>
      <c r="C6">
        <v>5933.3557142999998</v>
      </c>
      <c r="D6">
        <v>5942.2509508000003</v>
      </c>
      <c r="E6">
        <v>4050.9974999999999</v>
      </c>
      <c r="F6">
        <v>5738.7780952000003</v>
      </c>
      <c r="G6">
        <v>5086.9561148000003</v>
      </c>
      <c r="H6">
        <v>4822.7756499999996</v>
      </c>
      <c r="I6">
        <v>3429.2847167</v>
      </c>
    </row>
    <row r="7" spans="1:9" x14ac:dyDescent="0.35">
      <c r="A7" t="s">
        <v>47</v>
      </c>
      <c r="B7">
        <v>96400.128217000005</v>
      </c>
      <c r="C7">
        <v>107606.94057000001</v>
      </c>
      <c r="D7">
        <v>104912.12192999999</v>
      </c>
      <c r="E7">
        <v>86010.676135999995</v>
      </c>
      <c r="F7">
        <v>79541.980190000002</v>
      </c>
      <c r="G7">
        <v>77563.508820000003</v>
      </c>
      <c r="H7">
        <v>82815.759399999995</v>
      </c>
      <c r="I7">
        <v>136445.60725</v>
      </c>
    </row>
    <row r="8" spans="1:9" x14ac:dyDescent="0.35">
      <c r="A8" t="s">
        <v>94</v>
      </c>
      <c r="B8">
        <v>16385.694087</v>
      </c>
      <c r="C8">
        <v>21815.974381</v>
      </c>
      <c r="D8">
        <v>21460.177491999999</v>
      </c>
      <c r="E8">
        <v>17751.825227000001</v>
      </c>
      <c r="F8">
        <v>15910.539309</v>
      </c>
      <c r="G8">
        <v>15896.437295</v>
      </c>
      <c r="H8">
        <v>13757.179599999999</v>
      </c>
      <c r="I8">
        <v>24415.878550000001</v>
      </c>
    </row>
    <row r="9" spans="1:9" x14ac:dyDescent="0.35">
      <c r="A9" t="s">
        <v>97</v>
      </c>
      <c r="B9">
        <v>22849.050609000002</v>
      </c>
      <c r="C9">
        <v>25391.909428999999</v>
      </c>
      <c r="D9">
        <v>28677.16777</v>
      </c>
      <c r="E9">
        <v>26938.652136000001</v>
      </c>
      <c r="F9">
        <v>23909.994500000001</v>
      </c>
      <c r="G9">
        <v>25811.994295</v>
      </c>
      <c r="H9">
        <v>32825.828500000003</v>
      </c>
      <c r="I9">
        <v>23865.950517000001</v>
      </c>
    </row>
    <row r="10" spans="1:9" x14ac:dyDescent="0.35">
      <c r="A10" t="s">
        <v>100</v>
      </c>
      <c r="B10">
        <v>24853.055304000001</v>
      </c>
      <c r="C10">
        <v>26267.181667000001</v>
      </c>
      <c r="D10">
        <v>35389.241426000001</v>
      </c>
      <c r="E10">
        <v>13816.919818</v>
      </c>
      <c r="F10">
        <v>11780.310857</v>
      </c>
      <c r="G10">
        <v>13088.173639000001</v>
      </c>
      <c r="H10">
        <v>11257.551149999999</v>
      </c>
      <c r="I10">
        <v>19943.933183000001</v>
      </c>
    </row>
    <row r="11" spans="1:9" x14ac:dyDescent="0.35">
      <c r="A11" t="s">
        <v>101</v>
      </c>
      <c r="B11">
        <v>7787.8121303999997</v>
      </c>
      <c r="C11">
        <v>41379.145786000001</v>
      </c>
      <c r="D11">
        <v>34130.660295000001</v>
      </c>
      <c r="E11">
        <v>16761.581817999999</v>
      </c>
      <c r="F11">
        <v>14205.299666000001</v>
      </c>
      <c r="G11">
        <v>24249.447295000002</v>
      </c>
      <c r="H11">
        <v>23081.48215</v>
      </c>
      <c r="I11">
        <v>11942.270633</v>
      </c>
    </row>
    <row r="12" spans="1:9" x14ac:dyDescent="0.35">
      <c r="A12" t="s">
        <v>104</v>
      </c>
      <c r="E12">
        <v>5981.6802727000004</v>
      </c>
      <c r="F12">
        <v>5979.3762380999997</v>
      </c>
      <c r="G12">
        <v>5350.5471803</v>
      </c>
      <c r="H12">
        <v>2600.3613</v>
      </c>
      <c r="I12">
        <v>686.18025</v>
      </c>
    </row>
    <row r="13" spans="1:9" x14ac:dyDescent="0.35">
      <c r="A13" t="s">
        <v>48</v>
      </c>
      <c r="B13">
        <v>19889.207435</v>
      </c>
      <c r="C13">
        <v>24040.060380999999</v>
      </c>
      <c r="D13">
        <v>23660.158230000001</v>
      </c>
      <c r="E13">
        <v>16879.234</v>
      </c>
      <c r="F13">
        <v>17851.906738000001</v>
      </c>
      <c r="G13">
        <v>19434.534098</v>
      </c>
      <c r="H13">
        <v>33029.55775</v>
      </c>
      <c r="I13">
        <v>23812.36635</v>
      </c>
    </row>
    <row r="14" spans="1:9" x14ac:dyDescent="0.35">
      <c r="A14" t="s">
        <v>102</v>
      </c>
      <c r="B14">
        <v>7293.9250000000002</v>
      </c>
      <c r="C14">
        <v>7290.7757142999999</v>
      </c>
      <c r="D14">
        <v>7232.2669343999996</v>
      </c>
      <c r="E14">
        <v>4246.1991817999997</v>
      </c>
      <c r="F14">
        <v>5066.3546189999997</v>
      </c>
      <c r="G14">
        <v>5354.5432951000003</v>
      </c>
      <c r="H14">
        <v>6555.9135999999999</v>
      </c>
      <c r="I14">
        <v>4678.9916999999996</v>
      </c>
    </row>
    <row r="15" spans="1:9" x14ac:dyDescent="0.35">
      <c r="A15" t="s">
        <v>103</v>
      </c>
      <c r="B15">
        <v>160456.14635</v>
      </c>
      <c r="C15">
        <v>203350.52614</v>
      </c>
      <c r="D15">
        <v>188154.64872</v>
      </c>
      <c r="E15">
        <v>109704.40204</v>
      </c>
      <c r="F15">
        <v>127204.44107</v>
      </c>
      <c r="G15">
        <v>122542.6575</v>
      </c>
      <c r="H15">
        <v>114951.976</v>
      </c>
      <c r="I15">
        <v>150966.60329999999</v>
      </c>
    </row>
    <row r="16" spans="1:9" x14ac:dyDescent="0.35">
      <c r="A16" t="s">
        <v>49</v>
      </c>
      <c r="B16">
        <v>60333.018347999998</v>
      </c>
      <c r="C16">
        <v>61180.536905000001</v>
      </c>
      <c r="D16">
        <v>59643.660114999999</v>
      </c>
      <c r="E16">
        <v>52049.696499999998</v>
      </c>
      <c r="F16">
        <v>49724.721333000001</v>
      </c>
      <c r="G16">
        <v>50534.687901999998</v>
      </c>
      <c r="H16">
        <v>44814.18795</v>
      </c>
      <c r="I16">
        <v>61514.065866999998</v>
      </c>
    </row>
    <row r="17" spans="1:9" x14ac:dyDescent="0.35">
      <c r="A17" t="s">
        <v>96</v>
      </c>
      <c r="B17">
        <v>30.562608696000002</v>
      </c>
      <c r="C17">
        <v>31.058309523999998</v>
      </c>
      <c r="D17">
        <v>24.908803279000001</v>
      </c>
      <c r="E17">
        <v>6.1581818182000001</v>
      </c>
      <c r="F17">
        <v>7.7118095238000004</v>
      </c>
      <c r="G17">
        <v>8.3115737705000008</v>
      </c>
      <c r="H17">
        <v>26.179549999999999</v>
      </c>
      <c r="I17">
        <v>27.504933333</v>
      </c>
    </row>
    <row r="18" spans="1:9" x14ac:dyDescent="0.35">
      <c r="A18" t="s">
        <v>105</v>
      </c>
      <c r="B18">
        <v>2770.5133913</v>
      </c>
      <c r="C18">
        <v>2631.5515713999998</v>
      </c>
      <c r="D18">
        <v>3256.6429836000002</v>
      </c>
      <c r="E18">
        <v>4225.3269545000003</v>
      </c>
      <c r="F18">
        <v>10612.007309000001</v>
      </c>
      <c r="G18">
        <v>9601.5811147999993</v>
      </c>
      <c r="H18">
        <v>3784.2373499999999</v>
      </c>
      <c r="I18">
        <v>2202.5648332999999</v>
      </c>
    </row>
    <row r="19" spans="1:9" x14ac:dyDescent="0.35">
      <c r="A19" t="s">
        <v>505</v>
      </c>
      <c r="B19">
        <v>164082.40687000001</v>
      </c>
      <c r="C19">
        <v>140089.92326000001</v>
      </c>
      <c r="D19">
        <v>124531.14144000001</v>
      </c>
      <c r="E19">
        <v>77376.841182000004</v>
      </c>
      <c r="F19">
        <v>72751.180047999995</v>
      </c>
      <c r="G19">
        <v>60242.337033000003</v>
      </c>
      <c r="H19">
        <v>154542.20319999999</v>
      </c>
      <c r="I19">
        <v>19036.973255000001</v>
      </c>
    </row>
    <row r="20" spans="1:9" x14ac:dyDescent="0.35">
      <c r="A20" t="s">
        <v>107</v>
      </c>
      <c r="B20">
        <v>71720.153000000006</v>
      </c>
      <c r="C20">
        <v>75053.061713999996</v>
      </c>
      <c r="D20">
        <v>78081.838212999995</v>
      </c>
      <c r="E20">
        <v>52676.434136000003</v>
      </c>
      <c r="F20">
        <v>59294.854976000002</v>
      </c>
      <c r="G20">
        <v>73346.255115000007</v>
      </c>
      <c r="H20">
        <v>53444.307050000003</v>
      </c>
      <c r="I20">
        <v>79785.296866999997</v>
      </c>
    </row>
    <row r="21" spans="1:9" x14ac:dyDescent="0.35">
      <c r="A21" t="s">
        <v>98</v>
      </c>
      <c r="B21">
        <v>147.16039129999999</v>
      </c>
      <c r="C21">
        <v>147.32835714000001</v>
      </c>
      <c r="D21">
        <v>163.25977048999999</v>
      </c>
      <c r="E21">
        <v>126.30490909</v>
      </c>
      <c r="F21">
        <v>160.85278571000001</v>
      </c>
      <c r="G21">
        <v>181.37998361000001</v>
      </c>
      <c r="H21">
        <v>214.56084999999999</v>
      </c>
      <c r="I21">
        <v>301.52195</v>
      </c>
    </row>
    <row r="22" spans="1:9" x14ac:dyDescent="0.35">
      <c r="A22" t="s">
        <v>55</v>
      </c>
      <c r="B22">
        <v>409950.63039000001</v>
      </c>
      <c r="C22">
        <v>493804.26438000001</v>
      </c>
      <c r="D22">
        <v>508041.75003</v>
      </c>
      <c r="E22">
        <v>397085.99359000003</v>
      </c>
      <c r="F22">
        <v>530096.07530999999</v>
      </c>
      <c r="G22">
        <v>533037.62538999994</v>
      </c>
      <c r="H22">
        <v>508131.31615000003</v>
      </c>
      <c r="I22">
        <v>528483.48277</v>
      </c>
    </row>
    <row r="23" spans="1:9" x14ac:dyDescent="0.35">
      <c r="A23" t="s">
        <v>111</v>
      </c>
      <c r="B23">
        <v>78950.554478000005</v>
      </c>
      <c r="C23">
        <v>95973.390094999995</v>
      </c>
      <c r="D23">
        <v>109649.21090000001</v>
      </c>
      <c r="E23">
        <v>93205.715408999997</v>
      </c>
      <c r="F23">
        <v>95295.840404999995</v>
      </c>
      <c r="G23">
        <v>92193.346885000006</v>
      </c>
      <c r="H23">
        <v>89587.672699999996</v>
      </c>
      <c r="I23">
        <v>95019.934766999999</v>
      </c>
    </row>
    <row r="24" spans="1:9" x14ac:dyDescent="0.35">
      <c r="A24" t="s">
        <v>54</v>
      </c>
      <c r="B24">
        <v>490787.47473999998</v>
      </c>
      <c r="C24">
        <v>545067.90902000002</v>
      </c>
      <c r="D24">
        <v>525660.31791999994</v>
      </c>
      <c r="E24">
        <v>442470.55014000001</v>
      </c>
      <c r="F24">
        <v>505846.61781000003</v>
      </c>
      <c r="G24">
        <v>497946.89396999998</v>
      </c>
      <c r="H24">
        <v>433012.4167</v>
      </c>
      <c r="I24">
        <v>559439.97904999997</v>
      </c>
    </row>
    <row r="25" spans="1:9" x14ac:dyDescent="0.35">
      <c r="A25" t="s">
        <v>51</v>
      </c>
      <c r="B25">
        <v>151270.98787000001</v>
      </c>
      <c r="C25">
        <v>149699.04329</v>
      </c>
      <c r="D25">
        <v>167536.36038999999</v>
      </c>
      <c r="E25">
        <v>169091.45032</v>
      </c>
      <c r="F25">
        <v>207946.65617</v>
      </c>
      <c r="G25">
        <v>199666.22907999999</v>
      </c>
      <c r="H25">
        <v>190234.36670000001</v>
      </c>
      <c r="I25">
        <v>163180.16193</v>
      </c>
    </row>
    <row r="26" spans="1:9" x14ac:dyDescent="0.35">
      <c r="A26" t="s">
        <v>210</v>
      </c>
      <c r="B26">
        <v>51872.801609000002</v>
      </c>
      <c r="C26">
        <v>54088.39</v>
      </c>
      <c r="D26">
        <v>54446.322835999999</v>
      </c>
      <c r="E26">
        <v>44333.243226999999</v>
      </c>
      <c r="F26">
        <v>38146.692690000003</v>
      </c>
      <c r="G26">
        <v>41966.247458999998</v>
      </c>
      <c r="H26">
        <v>131501.6979</v>
      </c>
      <c r="I26">
        <v>89666.366582999995</v>
      </c>
    </row>
    <row r="27" spans="1:9" x14ac:dyDescent="0.35">
      <c r="A27" t="s">
        <v>122</v>
      </c>
      <c r="B27">
        <v>10690.665304</v>
      </c>
      <c r="C27">
        <v>12055.897142</v>
      </c>
      <c r="D27">
        <v>12023.933327000001</v>
      </c>
      <c r="E27">
        <v>9397.7000908999999</v>
      </c>
      <c r="F27">
        <v>9945.3454999999994</v>
      </c>
      <c r="G27">
        <v>34593.656066000003</v>
      </c>
      <c r="H27">
        <v>50152.968950000002</v>
      </c>
      <c r="I27">
        <v>17758.405849999999</v>
      </c>
    </row>
    <row r="28" spans="1:9" x14ac:dyDescent="0.35">
      <c r="A28" t="s">
        <v>109</v>
      </c>
      <c r="B28">
        <v>3539.3960434999999</v>
      </c>
      <c r="C28">
        <v>4781.7816429000004</v>
      </c>
      <c r="D28">
        <v>4602.5593279000004</v>
      </c>
      <c r="E28">
        <v>3134.0211364000002</v>
      </c>
      <c r="F28">
        <v>2740.4144999999999</v>
      </c>
      <c r="G28">
        <v>2838.8046884999999</v>
      </c>
      <c r="H28">
        <v>5021.9980999999998</v>
      </c>
      <c r="I28">
        <v>3413.3009167</v>
      </c>
    </row>
    <row r="29" spans="1:9" x14ac:dyDescent="0.35">
      <c r="A29" t="s">
        <v>207</v>
      </c>
      <c r="B29">
        <v>1243.5154783</v>
      </c>
      <c r="C29">
        <v>1245.0962380999999</v>
      </c>
      <c r="D29">
        <v>1181.5253442999999</v>
      </c>
      <c r="E29">
        <v>616.04190908999999</v>
      </c>
      <c r="F29">
        <v>578.55921429</v>
      </c>
      <c r="G29">
        <v>519.61421311000004</v>
      </c>
      <c r="H29">
        <v>444.60244999999998</v>
      </c>
      <c r="I29">
        <v>1433.9277333</v>
      </c>
    </row>
    <row r="30" spans="1:9" x14ac:dyDescent="0.35">
      <c r="A30" t="s">
        <v>52</v>
      </c>
      <c r="B30">
        <v>3559.5725652000001</v>
      </c>
      <c r="C30">
        <v>3624.8424524000002</v>
      </c>
      <c r="D30">
        <v>3727.7854590000002</v>
      </c>
      <c r="E30">
        <v>2958.1704544999998</v>
      </c>
      <c r="F30">
        <v>2984.2746428999999</v>
      </c>
      <c r="G30">
        <v>3593.8665409999999</v>
      </c>
      <c r="H30">
        <v>7681.9036999999998</v>
      </c>
      <c r="I30">
        <v>9527.8352666999999</v>
      </c>
    </row>
    <row r="31" spans="1:9" x14ac:dyDescent="0.35">
      <c r="A31" t="s">
        <v>470</v>
      </c>
      <c r="B31">
        <v>685540.22796000005</v>
      </c>
      <c r="C31">
        <v>732091.70863000001</v>
      </c>
      <c r="D31">
        <v>760633.75173999998</v>
      </c>
      <c r="E31">
        <v>744045.50884999998</v>
      </c>
      <c r="F31">
        <v>699012.38266999996</v>
      </c>
      <c r="G31">
        <v>701267.53576</v>
      </c>
      <c r="H31">
        <v>970025.72424999997</v>
      </c>
      <c r="I31">
        <v>899883.56475000002</v>
      </c>
    </row>
    <row r="32" spans="1:9" x14ac:dyDescent="0.35">
      <c r="A32" t="s">
        <v>57</v>
      </c>
      <c r="B32">
        <v>223330.38178</v>
      </c>
      <c r="C32">
        <v>265640.45289999997</v>
      </c>
      <c r="D32">
        <v>284691.62952000002</v>
      </c>
      <c r="E32">
        <v>245269.41377000001</v>
      </c>
      <c r="F32">
        <v>278036.43764000002</v>
      </c>
      <c r="G32">
        <v>290323.34473999997</v>
      </c>
      <c r="H32">
        <v>283078.56339999998</v>
      </c>
      <c r="I32">
        <v>439489.61421999999</v>
      </c>
    </row>
    <row r="33" spans="1:9" x14ac:dyDescent="0.35">
      <c r="A33" t="s">
        <v>118</v>
      </c>
      <c r="B33">
        <v>31.616347825999998</v>
      </c>
      <c r="C33">
        <v>49.832666666999998</v>
      </c>
      <c r="D33">
        <v>52.934032787</v>
      </c>
      <c r="E33">
        <v>17.021090909000002</v>
      </c>
      <c r="F33">
        <v>33.425476189999998</v>
      </c>
      <c r="G33">
        <v>45.431409836</v>
      </c>
      <c r="H33">
        <v>71.919200000000004</v>
      </c>
      <c r="I33">
        <v>78.257383333000007</v>
      </c>
    </row>
    <row r="34" spans="1:9" x14ac:dyDescent="0.35">
      <c r="A34" t="s">
        <v>108</v>
      </c>
      <c r="B34">
        <v>18681.233348000002</v>
      </c>
      <c r="C34">
        <v>18935.415738</v>
      </c>
      <c r="D34">
        <v>19614.124737999999</v>
      </c>
      <c r="E34">
        <v>8723.3186817999995</v>
      </c>
      <c r="F34">
        <v>10408.898451999999</v>
      </c>
      <c r="G34">
        <v>9319.9292623000001</v>
      </c>
      <c r="H34">
        <v>9245.0280000000002</v>
      </c>
      <c r="I34">
        <v>26388.825217000001</v>
      </c>
    </row>
    <row r="35" spans="1:9" x14ac:dyDescent="0.35">
      <c r="A35" t="s">
        <v>112</v>
      </c>
      <c r="B35">
        <v>67577.472651999997</v>
      </c>
      <c r="C35">
        <v>95967.760928999996</v>
      </c>
      <c r="D35">
        <v>87661.477687999999</v>
      </c>
      <c r="E35">
        <v>53454.789863999998</v>
      </c>
      <c r="F35">
        <v>50348.181762</v>
      </c>
      <c r="G35">
        <v>53334.603655999999</v>
      </c>
      <c r="H35">
        <v>104109.36695</v>
      </c>
      <c r="I35">
        <v>82750.854250000004</v>
      </c>
    </row>
    <row r="36" spans="1:9" x14ac:dyDescent="0.35">
      <c r="A36" t="s">
        <v>56</v>
      </c>
      <c r="B36">
        <v>115943.41739</v>
      </c>
      <c r="C36">
        <v>139920.58418999999</v>
      </c>
      <c r="D36">
        <v>172846.94472</v>
      </c>
      <c r="E36">
        <v>236779.61364</v>
      </c>
      <c r="F36">
        <v>189089.48642999999</v>
      </c>
      <c r="G36">
        <v>187169.90616000001</v>
      </c>
      <c r="H36">
        <v>276366.49119999999</v>
      </c>
      <c r="I36">
        <v>155792.94407</v>
      </c>
    </row>
    <row r="37" spans="1:9" x14ac:dyDescent="0.35">
      <c r="A37" t="s">
        <v>53</v>
      </c>
      <c r="B37">
        <v>3734.139087</v>
      </c>
      <c r="C37">
        <v>4859.7617856999996</v>
      </c>
      <c r="D37">
        <v>5455.7459508000002</v>
      </c>
      <c r="E37">
        <v>5410.9290000000001</v>
      </c>
      <c r="F37">
        <v>4405.5532618999996</v>
      </c>
      <c r="G37">
        <v>3994.6479672</v>
      </c>
      <c r="H37">
        <v>4283.5667000000003</v>
      </c>
      <c r="I37">
        <v>5675.6436832999998</v>
      </c>
    </row>
    <row r="38" spans="1:9" x14ac:dyDescent="0.35">
      <c r="A38" t="s">
        <v>116</v>
      </c>
      <c r="B38">
        <v>158857.78239000001</v>
      </c>
      <c r="C38">
        <v>199079.8376</v>
      </c>
      <c r="D38">
        <v>217117.81489000001</v>
      </c>
      <c r="E38">
        <v>174516.93964</v>
      </c>
      <c r="F38">
        <v>182683.09757000001</v>
      </c>
      <c r="G38">
        <v>175855.27439000001</v>
      </c>
      <c r="H38">
        <v>148657.91764999999</v>
      </c>
      <c r="I38">
        <v>0</v>
      </c>
    </row>
    <row r="39" spans="1:9" x14ac:dyDescent="0.35">
      <c r="A39" t="s">
        <v>471</v>
      </c>
      <c r="B39">
        <v>1017.7835217000001</v>
      </c>
      <c r="C39">
        <v>988.61509523999996</v>
      </c>
      <c r="D39">
        <v>735.69501638999998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35">
      <c r="A40" t="s">
        <v>114</v>
      </c>
      <c r="B40">
        <v>419.96065217</v>
      </c>
      <c r="C40">
        <v>451.83185714000001</v>
      </c>
      <c r="D40">
        <v>398.30201639000001</v>
      </c>
      <c r="E40">
        <v>157.32359091000001</v>
      </c>
      <c r="F40">
        <v>211.01504761999999</v>
      </c>
      <c r="G40">
        <v>210.25765573999999</v>
      </c>
      <c r="H40">
        <v>259.41820000000001</v>
      </c>
      <c r="I40">
        <v>184.72040000000001</v>
      </c>
    </row>
    <row r="41" spans="1:9" x14ac:dyDescent="0.35">
      <c r="A41" t="s">
        <v>115</v>
      </c>
      <c r="B41">
        <v>44367.020216999998</v>
      </c>
      <c r="C41">
        <v>52946.997429000003</v>
      </c>
      <c r="D41">
        <v>52294.366737999997</v>
      </c>
      <c r="E41">
        <v>41236.566636000003</v>
      </c>
      <c r="F41">
        <v>40036.312071</v>
      </c>
      <c r="G41">
        <v>38922.679639000002</v>
      </c>
      <c r="H41">
        <v>38530.308799999999</v>
      </c>
      <c r="I41">
        <v>30593.957117000002</v>
      </c>
    </row>
    <row r="42" spans="1:9" x14ac:dyDescent="0.35">
      <c r="A42" t="s">
        <v>50</v>
      </c>
      <c r="B42">
        <v>11265.656564999999</v>
      </c>
      <c r="C42">
        <v>13091.237499999999</v>
      </c>
      <c r="D42">
        <v>13680.327654999999</v>
      </c>
      <c r="E42">
        <v>17780.311044999999</v>
      </c>
      <c r="F42">
        <v>17251.018166999998</v>
      </c>
      <c r="G42">
        <v>17869.987392999999</v>
      </c>
      <c r="H42">
        <v>12359.185949999999</v>
      </c>
      <c r="I42">
        <v>17553.219667000001</v>
      </c>
    </row>
    <row r="43" spans="1:9" x14ac:dyDescent="0.35">
      <c r="A43" t="s">
        <v>117</v>
      </c>
      <c r="E43">
        <v>489.79104545000001</v>
      </c>
      <c r="F43">
        <v>561.55954761999999</v>
      </c>
      <c r="G43">
        <v>602.19086885000002</v>
      </c>
      <c r="H43">
        <v>522.76964999999996</v>
      </c>
      <c r="I43">
        <v>649.7817</v>
      </c>
    </row>
    <row r="44" spans="1:9" x14ac:dyDescent="0.35">
      <c r="A44" t="s">
        <v>120</v>
      </c>
      <c r="B44">
        <v>331.10408696000002</v>
      </c>
      <c r="C44">
        <v>483.25123810000002</v>
      </c>
      <c r="D44">
        <v>486.32722951</v>
      </c>
      <c r="E44">
        <v>493.51004545000001</v>
      </c>
      <c r="F44">
        <v>511.64807143000002</v>
      </c>
      <c r="G44">
        <v>556.97368852</v>
      </c>
      <c r="H44">
        <v>319.46704999999997</v>
      </c>
      <c r="I44">
        <v>259.86991667000001</v>
      </c>
    </row>
    <row r="45" spans="1:9" x14ac:dyDescent="0.35">
      <c r="A45" t="s">
        <v>121</v>
      </c>
      <c r="B45">
        <v>4868.1813043000002</v>
      </c>
      <c r="C45">
        <v>4350.1880000000001</v>
      </c>
      <c r="D45">
        <v>4459.4826556999997</v>
      </c>
      <c r="E45">
        <v>7708.2610000000004</v>
      </c>
      <c r="F45">
        <v>8734.5921904999996</v>
      </c>
      <c r="G45">
        <v>8007.9062623</v>
      </c>
      <c r="H45">
        <v>8731.9144500000002</v>
      </c>
      <c r="I45">
        <v>4644.7805500000004</v>
      </c>
    </row>
    <row r="46" spans="1:9" x14ac:dyDescent="0.35">
      <c r="A46" t="s">
        <v>205</v>
      </c>
      <c r="B46">
        <v>3046.6341739</v>
      </c>
      <c r="C46">
        <v>3659.4319048000002</v>
      </c>
      <c r="D46">
        <v>3686.744377</v>
      </c>
      <c r="E46">
        <v>1894.1602273000001</v>
      </c>
      <c r="F46">
        <v>4127.0103095000004</v>
      </c>
      <c r="G46">
        <v>4414.4793115000002</v>
      </c>
      <c r="H46">
        <v>19924.224149999998</v>
      </c>
      <c r="I46">
        <v>10051.922</v>
      </c>
    </row>
    <row r="47" spans="1:9" x14ac:dyDescent="0.35">
      <c r="A47" t="s">
        <v>123</v>
      </c>
      <c r="B47">
        <v>22761.047216999999</v>
      </c>
      <c r="C47">
        <v>24269.312619</v>
      </c>
      <c r="D47">
        <v>23588.542950999999</v>
      </c>
      <c r="E47">
        <v>19039.263727000001</v>
      </c>
      <c r="F47">
        <v>19585.629047999999</v>
      </c>
      <c r="G47">
        <v>20589.909179999999</v>
      </c>
      <c r="H47">
        <v>32923.905149999999</v>
      </c>
      <c r="I47">
        <v>30854.805067000001</v>
      </c>
    </row>
    <row r="48" spans="1:9" x14ac:dyDescent="0.35">
      <c r="A48" t="s">
        <v>212</v>
      </c>
      <c r="B48">
        <v>114338.13587</v>
      </c>
      <c r="C48">
        <v>114943.58697</v>
      </c>
      <c r="D48">
        <v>123130.30493</v>
      </c>
      <c r="E48">
        <v>100137.53621999999</v>
      </c>
      <c r="F48">
        <v>110990.08395</v>
      </c>
      <c r="G48">
        <v>116127.46245000001</v>
      </c>
      <c r="H48">
        <v>171047.03954999999</v>
      </c>
      <c r="I48">
        <v>160433.08437</v>
      </c>
    </row>
    <row r="49" spans="1:9" x14ac:dyDescent="0.35">
      <c r="A49" t="s">
        <v>124</v>
      </c>
      <c r="B49">
        <v>38550.746783000002</v>
      </c>
      <c r="C49">
        <v>66593.124429000003</v>
      </c>
      <c r="D49">
        <v>60137.806048999999</v>
      </c>
      <c r="E49">
        <v>39677.380955000001</v>
      </c>
      <c r="F49">
        <v>38192.929786000001</v>
      </c>
      <c r="G49">
        <v>38564.975638999997</v>
      </c>
      <c r="H49">
        <v>44423.924350000001</v>
      </c>
      <c r="I49">
        <v>110689.133</v>
      </c>
    </row>
    <row r="50" spans="1:9" x14ac:dyDescent="0.35">
      <c r="A50" t="s">
        <v>125</v>
      </c>
      <c r="B50">
        <v>40.080391304000003</v>
      </c>
      <c r="C50">
        <v>98.221928571000007</v>
      </c>
      <c r="D50">
        <v>89.369360655999998</v>
      </c>
      <c r="E50">
        <v>37.578181817999997</v>
      </c>
      <c r="F50">
        <v>30.933047619</v>
      </c>
      <c r="G50">
        <v>35.539131148000003</v>
      </c>
      <c r="H50">
        <v>204.79785000000001</v>
      </c>
      <c r="I50">
        <v>153.32775000000001</v>
      </c>
    </row>
    <row r="51" spans="1:9" x14ac:dyDescent="0.35">
      <c r="A51" t="s">
        <v>126</v>
      </c>
      <c r="B51">
        <v>34.757782609000003</v>
      </c>
      <c r="C51">
        <v>59.399928570999997</v>
      </c>
      <c r="D51">
        <v>51.179803278999998</v>
      </c>
      <c r="E51">
        <v>29.692272726999999</v>
      </c>
      <c r="F51">
        <v>67.317142856999993</v>
      </c>
      <c r="G51">
        <v>56.561360655999998</v>
      </c>
      <c r="H51">
        <v>87.918000000000006</v>
      </c>
      <c r="I51">
        <v>108.17366665999999</v>
      </c>
    </row>
    <row r="52" spans="1:9" x14ac:dyDescent="0.35">
      <c r="A52" t="s">
        <v>127</v>
      </c>
      <c r="B52">
        <v>90.032652174000006</v>
      </c>
      <c r="C52">
        <v>169.41330952000001</v>
      </c>
      <c r="D52">
        <v>157.25760656</v>
      </c>
      <c r="E52">
        <v>140.99745454999999</v>
      </c>
      <c r="F52">
        <v>163.14095237999999</v>
      </c>
      <c r="G52">
        <v>157.63377048999999</v>
      </c>
      <c r="H52">
        <v>207.97915</v>
      </c>
      <c r="I52">
        <v>295.39476667000002</v>
      </c>
    </row>
    <row r="53" spans="1:9" x14ac:dyDescent="0.35">
      <c r="A53" t="s">
        <v>175</v>
      </c>
      <c r="B53">
        <v>93.383913043000007</v>
      </c>
      <c r="C53">
        <v>128.32678571</v>
      </c>
      <c r="D53">
        <v>193.34619671999999</v>
      </c>
      <c r="E53">
        <v>557.16331818000003</v>
      </c>
      <c r="F53">
        <v>315.3967619</v>
      </c>
      <c r="G53">
        <v>281.44145902000002</v>
      </c>
      <c r="H53">
        <v>171.18899999999999</v>
      </c>
      <c r="I53">
        <v>703.58024999999998</v>
      </c>
    </row>
    <row r="54" spans="1:9" x14ac:dyDescent="0.35">
      <c r="A54" t="s">
        <v>473</v>
      </c>
      <c r="B54">
        <v>23139.466174000001</v>
      </c>
      <c r="C54">
        <v>21795.733452</v>
      </c>
      <c r="D54">
        <v>19536.343311000001</v>
      </c>
      <c r="E54">
        <v>9370.7427272999994</v>
      </c>
      <c r="F54">
        <v>26113.305690000001</v>
      </c>
      <c r="G54">
        <v>27110.410672000002</v>
      </c>
      <c r="H54">
        <v>2887.5942500000001</v>
      </c>
      <c r="I54">
        <v>0</v>
      </c>
    </row>
    <row r="55" spans="1:9" x14ac:dyDescent="0.35">
      <c r="A55" t="s">
        <v>128</v>
      </c>
      <c r="B55">
        <v>17.000913043000001</v>
      </c>
      <c r="C55">
        <v>14.690309523</v>
      </c>
      <c r="D55">
        <v>10.985540983</v>
      </c>
      <c r="E55">
        <v>16.543454544999999</v>
      </c>
      <c r="F55">
        <v>10.869333333</v>
      </c>
      <c r="G55">
        <v>8.5944098361000005</v>
      </c>
      <c r="H55">
        <v>3.0355500000000002</v>
      </c>
      <c r="I55">
        <v>14.478583333</v>
      </c>
    </row>
    <row r="56" spans="1:9" x14ac:dyDescent="0.35">
      <c r="A56" t="s">
        <v>129</v>
      </c>
      <c r="B56">
        <v>174.00378261</v>
      </c>
      <c r="C56">
        <v>197.422</v>
      </c>
      <c r="D56">
        <v>234.66965574</v>
      </c>
      <c r="E56">
        <v>286.09627273000001</v>
      </c>
      <c r="F56">
        <v>213.34826190000001</v>
      </c>
      <c r="G56">
        <v>235.60934426</v>
      </c>
      <c r="H56">
        <v>288.96929999999998</v>
      </c>
      <c r="I56">
        <v>596.02628332999996</v>
      </c>
    </row>
    <row r="57" spans="1:9" x14ac:dyDescent="0.35">
      <c r="A57" t="s">
        <v>130</v>
      </c>
      <c r="B57">
        <v>118539.77456000001</v>
      </c>
      <c r="C57">
        <v>151303.22889999999</v>
      </c>
      <c r="D57">
        <v>152399.93935999999</v>
      </c>
      <c r="E57">
        <v>135748.00091</v>
      </c>
      <c r="F57">
        <v>126971.28565999999</v>
      </c>
      <c r="G57">
        <v>142095.23951000001</v>
      </c>
      <c r="H57">
        <v>181590.3358</v>
      </c>
      <c r="I57">
        <v>117440.75235</v>
      </c>
    </row>
    <row r="58" spans="1:9" x14ac:dyDescent="0.35">
      <c r="A58" t="s">
        <v>141</v>
      </c>
      <c r="B58">
        <v>49698.215521999999</v>
      </c>
      <c r="C58">
        <v>50264.37831</v>
      </c>
      <c r="D58">
        <v>47793.500459000003</v>
      </c>
      <c r="E58">
        <v>42528.438455000003</v>
      </c>
      <c r="F58">
        <v>36859.172832999997</v>
      </c>
      <c r="G58">
        <v>40834.808803</v>
      </c>
      <c r="H58">
        <v>45576.525199999996</v>
      </c>
      <c r="I58">
        <v>37221.954417000001</v>
      </c>
    </row>
    <row r="59" spans="1:9" x14ac:dyDescent="0.35">
      <c r="A59" t="s">
        <v>131</v>
      </c>
      <c r="B59">
        <v>1.0184347826</v>
      </c>
      <c r="C59">
        <v>0.69580952381000005</v>
      </c>
      <c r="D59">
        <v>0.61509836066000001</v>
      </c>
      <c r="E59">
        <v>0.11363636363</v>
      </c>
      <c r="F59">
        <v>0.25119047619000001</v>
      </c>
      <c r="G59">
        <v>0.54470491802999998</v>
      </c>
      <c r="H59">
        <v>0.3755</v>
      </c>
      <c r="I59">
        <v>0.79069999999999996</v>
      </c>
    </row>
    <row r="60" spans="1:9" x14ac:dyDescent="0.35">
      <c r="A60" t="s">
        <v>132</v>
      </c>
      <c r="B60">
        <v>351.01230435000002</v>
      </c>
      <c r="C60">
        <v>2383.6919524</v>
      </c>
      <c r="D60">
        <v>1819.0416066</v>
      </c>
      <c r="E60">
        <v>295.10118182000002</v>
      </c>
      <c r="F60">
        <v>229.3185</v>
      </c>
      <c r="G60">
        <v>349.34740984000001</v>
      </c>
      <c r="H60">
        <v>209.7474</v>
      </c>
      <c r="I60">
        <v>673.77728333000005</v>
      </c>
    </row>
    <row r="61" spans="1:9" x14ac:dyDescent="0.35">
      <c r="A61" t="s">
        <v>58</v>
      </c>
      <c r="B61">
        <v>45247.622477999997</v>
      </c>
      <c r="C61">
        <v>56352.375118999997</v>
      </c>
      <c r="D61">
        <v>56415.669179999997</v>
      </c>
      <c r="E61">
        <v>42026.131954999997</v>
      </c>
      <c r="F61">
        <v>59794.189166999997</v>
      </c>
      <c r="G61">
        <v>70906.474180000005</v>
      </c>
      <c r="H61">
        <v>153660.73809999999</v>
      </c>
      <c r="I61">
        <v>93466.411032999997</v>
      </c>
    </row>
    <row r="62" spans="1:9" x14ac:dyDescent="0.35">
      <c r="A62" t="s">
        <v>138</v>
      </c>
      <c r="B62">
        <v>71470.204826000001</v>
      </c>
      <c r="C62">
        <v>64185.036714000002</v>
      </c>
      <c r="D62">
        <v>61062.456295000004</v>
      </c>
      <c r="E62">
        <v>53376.330135999997</v>
      </c>
      <c r="F62">
        <v>69009.800310000006</v>
      </c>
      <c r="G62">
        <v>77736.103491999995</v>
      </c>
      <c r="H62">
        <v>67356.240900000004</v>
      </c>
      <c r="I62">
        <v>94227.669833000007</v>
      </c>
    </row>
    <row r="63" spans="1:9" x14ac:dyDescent="0.35">
      <c r="A63" t="s">
        <v>135</v>
      </c>
      <c r="B63">
        <v>49603.716522000002</v>
      </c>
      <c r="C63">
        <v>59174.091856999999</v>
      </c>
      <c r="D63">
        <v>60225.237720999998</v>
      </c>
      <c r="E63">
        <v>54902.454136</v>
      </c>
      <c r="F63">
        <v>50572.17</v>
      </c>
      <c r="G63">
        <v>46687.708262</v>
      </c>
      <c r="H63">
        <v>65462.068149999999</v>
      </c>
      <c r="I63">
        <v>104136.30381</v>
      </c>
    </row>
    <row r="64" spans="1:9" x14ac:dyDescent="0.35">
      <c r="A64" t="s">
        <v>136</v>
      </c>
      <c r="B64">
        <v>156788.98147999999</v>
      </c>
      <c r="C64">
        <v>171379.16456999999</v>
      </c>
      <c r="D64">
        <v>179203.44162</v>
      </c>
      <c r="E64">
        <v>135734.62122999999</v>
      </c>
      <c r="F64">
        <v>135983.64157000001</v>
      </c>
      <c r="G64">
        <v>134921.35537999999</v>
      </c>
      <c r="H64">
        <v>181927.57269999999</v>
      </c>
      <c r="I64">
        <v>69192.578383</v>
      </c>
    </row>
    <row r="65" spans="1:9" x14ac:dyDescent="0.35">
      <c r="A65" t="s">
        <v>474</v>
      </c>
      <c r="B65">
        <v>89691.257043000005</v>
      </c>
      <c r="C65">
        <v>110701.85459</v>
      </c>
      <c r="D65">
        <v>104363.69085</v>
      </c>
      <c r="E65">
        <v>88158.716272999998</v>
      </c>
      <c r="F65">
        <v>139603.29183</v>
      </c>
      <c r="G65">
        <v>115771.03862000001</v>
      </c>
      <c r="H65">
        <v>349171.7977</v>
      </c>
      <c r="I65">
        <v>0</v>
      </c>
    </row>
    <row r="66" spans="1:9" x14ac:dyDescent="0.35">
      <c r="A66" t="s">
        <v>139</v>
      </c>
      <c r="B66">
        <v>66.181086957000005</v>
      </c>
      <c r="C66">
        <v>55.058833333000003</v>
      </c>
      <c r="D66">
        <v>48.774032787000003</v>
      </c>
      <c r="E66">
        <v>32.420227273000002</v>
      </c>
      <c r="F66">
        <v>30.308357142999999</v>
      </c>
      <c r="G66">
        <v>29.651229508</v>
      </c>
      <c r="H66">
        <v>31.21895</v>
      </c>
      <c r="I66">
        <v>115.25015</v>
      </c>
    </row>
    <row r="67" spans="1:9" x14ac:dyDescent="0.35">
      <c r="A67" t="s">
        <v>140</v>
      </c>
      <c r="B67">
        <v>9.6661304347999994</v>
      </c>
      <c r="C67">
        <v>7.3620476190000002</v>
      </c>
      <c r="D67">
        <v>8.1661967213000004</v>
      </c>
      <c r="E67">
        <v>5.4126818182000003</v>
      </c>
      <c r="F67">
        <v>5.1082857143</v>
      </c>
      <c r="G67">
        <v>5.0315737704999997</v>
      </c>
      <c r="H67">
        <v>2.8374999999999999</v>
      </c>
      <c r="I67">
        <v>10.152100000000001</v>
      </c>
    </row>
    <row r="68" spans="1:9" x14ac:dyDescent="0.35">
      <c r="A68" t="s">
        <v>59</v>
      </c>
      <c r="B68">
        <v>132531.03208999999</v>
      </c>
      <c r="C68">
        <v>150365.24512000001</v>
      </c>
      <c r="D68">
        <v>155690.67111</v>
      </c>
      <c r="E68">
        <v>177049.27041</v>
      </c>
      <c r="F68">
        <v>215342.84654999999</v>
      </c>
      <c r="G68">
        <v>192243.40148999999</v>
      </c>
      <c r="H68">
        <v>134156.12065</v>
      </c>
      <c r="I68">
        <v>203187.02655000001</v>
      </c>
    </row>
    <row r="69" spans="1:9" x14ac:dyDescent="0.35">
      <c r="A69" t="s">
        <v>134</v>
      </c>
      <c r="B69">
        <v>27013.240870000001</v>
      </c>
      <c r="C69">
        <v>41061.222262000003</v>
      </c>
      <c r="D69">
        <v>40728.35</v>
      </c>
      <c r="E69">
        <v>36947.035682000002</v>
      </c>
      <c r="F69">
        <v>36659.721548000001</v>
      </c>
      <c r="G69">
        <v>39745.504262000002</v>
      </c>
      <c r="H69">
        <v>41374.373500000002</v>
      </c>
      <c r="I69">
        <v>89990.274716999993</v>
      </c>
    </row>
    <row r="70" spans="1:9" x14ac:dyDescent="0.35">
      <c r="A70" t="s">
        <v>252</v>
      </c>
      <c r="B70">
        <v>90351.712348000001</v>
      </c>
      <c r="C70">
        <v>103751.30709</v>
      </c>
      <c r="D70">
        <v>103604.28741</v>
      </c>
      <c r="E70">
        <v>106862.79876999999</v>
      </c>
      <c r="F70">
        <v>128258.4755</v>
      </c>
      <c r="G70">
        <v>124152.60165</v>
      </c>
      <c r="H70">
        <v>97353.720700000005</v>
      </c>
      <c r="I70">
        <v>76339.249267000007</v>
      </c>
    </row>
    <row r="71" spans="1:9" x14ac:dyDescent="0.35">
      <c r="A71" t="s">
        <v>142</v>
      </c>
      <c r="B71">
        <v>568.38334783000005</v>
      </c>
      <c r="C71">
        <v>736.81111905</v>
      </c>
      <c r="D71">
        <v>800.74527868999996</v>
      </c>
      <c r="E71">
        <v>646.52881818000003</v>
      </c>
      <c r="F71">
        <v>601.54926190000003</v>
      </c>
      <c r="G71">
        <v>763.88636066000004</v>
      </c>
      <c r="H71">
        <v>808.35775000000001</v>
      </c>
      <c r="I71">
        <v>922.98713333000001</v>
      </c>
    </row>
    <row r="72" spans="1:9" x14ac:dyDescent="0.35">
      <c r="A72" t="s">
        <v>137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</row>
    <row r="73" spans="1:9" x14ac:dyDescent="0.35">
      <c r="A73" t="s">
        <v>143</v>
      </c>
      <c r="B73">
        <v>56520.548738999998</v>
      </c>
      <c r="C73">
        <v>50137.150024000002</v>
      </c>
      <c r="D73">
        <v>50332.340869</v>
      </c>
      <c r="E73">
        <v>39765.037772999996</v>
      </c>
      <c r="F73">
        <v>41867.013048000001</v>
      </c>
      <c r="G73">
        <v>43074.733851999998</v>
      </c>
      <c r="H73">
        <v>54361.7235</v>
      </c>
      <c r="I73">
        <v>87776.353499999997</v>
      </c>
    </row>
    <row r="74" spans="1:9" x14ac:dyDescent="0.35">
      <c r="A74" t="s">
        <v>60</v>
      </c>
      <c r="B74">
        <v>24304.328783000001</v>
      </c>
      <c r="C74">
        <v>49694.622928999997</v>
      </c>
      <c r="D74">
        <v>53858.676360999998</v>
      </c>
      <c r="E74">
        <v>36192.776955000001</v>
      </c>
      <c r="F74">
        <v>35951.905786000003</v>
      </c>
      <c r="G74">
        <v>39244.565984000001</v>
      </c>
      <c r="H74">
        <v>41315.180699999997</v>
      </c>
      <c r="I74">
        <v>21551.212299999999</v>
      </c>
    </row>
    <row r="75" spans="1:9" x14ac:dyDescent="0.35">
      <c r="A75" t="s">
        <v>119</v>
      </c>
      <c r="B75">
        <v>48416.929738999999</v>
      </c>
      <c r="C75">
        <v>51853.020810000002</v>
      </c>
      <c r="D75">
        <v>66587.620016000001</v>
      </c>
      <c r="E75">
        <v>48705.818317999998</v>
      </c>
      <c r="F75">
        <v>54681.648929000003</v>
      </c>
      <c r="G75">
        <v>67277.165475000002</v>
      </c>
      <c r="H75">
        <v>73708.248600000006</v>
      </c>
      <c r="I75">
        <v>55712.124683000002</v>
      </c>
    </row>
    <row r="76" spans="1:9" x14ac:dyDescent="0.35">
      <c r="A76" t="s">
        <v>144</v>
      </c>
      <c r="B76">
        <v>128208.62952</v>
      </c>
      <c r="C76">
        <v>134669.66811999999</v>
      </c>
      <c r="D76">
        <v>146490.73415</v>
      </c>
      <c r="E76">
        <v>107537.03831</v>
      </c>
      <c r="F76">
        <v>110262.53535000001</v>
      </c>
      <c r="G76">
        <v>117532.4166</v>
      </c>
      <c r="H76">
        <v>151378.23929999999</v>
      </c>
      <c r="I76">
        <v>164033.67655</v>
      </c>
    </row>
    <row r="77" spans="1:9" x14ac:dyDescent="0.35">
      <c r="A77" t="s">
        <v>146</v>
      </c>
      <c r="B77">
        <v>1971.4742609</v>
      </c>
      <c r="C77">
        <v>2056.4048570999998</v>
      </c>
      <c r="D77">
        <v>2090.2746885000001</v>
      </c>
      <c r="E77">
        <v>1680.2295455000001</v>
      </c>
      <c r="F77">
        <v>1553.7278094999999</v>
      </c>
      <c r="G77">
        <v>1639.7230328000001</v>
      </c>
      <c r="H77">
        <v>838.96979999999996</v>
      </c>
      <c r="I77">
        <v>6761.6324167000002</v>
      </c>
    </row>
    <row r="78" spans="1:9" x14ac:dyDescent="0.35">
      <c r="A78" t="s">
        <v>147</v>
      </c>
      <c r="B78">
        <v>1693.7809999999999</v>
      </c>
      <c r="C78">
        <v>1800.651619</v>
      </c>
      <c r="D78">
        <v>1844.7914426</v>
      </c>
      <c r="E78">
        <v>2306.3602273000001</v>
      </c>
      <c r="F78">
        <v>2346.6266190000001</v>
      </c>
      <c r="G78">
        <v>2441.0372130999999</v>
      </c>
      <c r="H78">
        <v>2971.3308000000002</v>
      </c>
      <c r="I78">
        <v>16026.683867</v>
      </c>
    </row>
    <row r="79" spans="1:9" x14ac:dyDescent="0.35">
      <c r="A79" t="s">
        <v>149</v>
      </c>
      <c r="B79">
        <v>504.78899999999999</v>
      </c>
      <c r="C79">
        <v>685.46083333000001</v>
      </c>
      <c r="D79">
        <v>740.79513114999997</v>
      </c>
      <c r="E79">
        <v>607.62972726999999</v>
      </c>
      <c r="F79">
        <v>610.99285713999996</v>
      </c>
      <c r="G79">
        <v>647.55455738000001</v>
      </c>
      <c r="H79">
        <v>793.20585000000005</v>
      </c>
      <c r="I79">
        <v>1162.0186667</v>
      </c>
    </row>
    <row r="80" spans="1:9" x14ac:dyDescent="0.35">
      <c r="A80" t="s">
        <v>151</v>
      </c>
      <c r="B80">
        <v>51851.678913000003</v>
      </c>
      <c r="C80">
        <v>58276.449356999998</v>
      </c>
      <c r="D80">
        <v>65311.966492</v>
      </c>
      <c r="E80">
        <v>56378.729818</v>
      </c>
      <c r="F80">
        <v>53694.198951999999</v>
      </c>
      <c r="G80">
        <v>56477.301442999997</v>
      </c>
      <c r="H80">
        <v>68254.599300000002</v>
      </c>
      <c r="I80">
        <v>103148.95508</v>
      </c>
    </row>
    <row r="81" spans="1:9" x14ac:dyDescent="0.35">
      <c r="A81" t="s">
        <v>145</v>
      </c>
      <c r="B81">
        <v>742.70843477999995</v>
      </c>
      <c r="C81">
        <v>756.86461904999999</v>
      </c>
      <c r="D81">
        <v>655.70552458999998</v>
      </c>
      <c r="E81">
        <v>324.56222726999999</v>
      </c>
      <c r="F81">
        <v>406.48804761999997</v>
      </c>
      <c r="G81">
        <v>431.75939344</v>
      </c>
      <c r="H81">
        <v>546.79165</v>
      </c>
      <c r="I81">
        <v>392.36385000000001</v>
      </c>
    </row>
    <row r="82" spans="1:9" x14ac:dyDescent="0.35">
      <c r="A82" t="s">
        <v>148</v>
      </c>
      <c r="B82">
        <v>28028.177913</v>
      </c>
      <c r="C82">
        <v>25815.191761999999</v>
      </c>
      <c r="D82">
        <v>26311.405328000001</v>
      </c>
      <c r="E82">
        <v>15318.910680999999</v>
      </c>
      <c r="F82">
        <v>14350.944095000001</v>
      </c>
      <c r="G82">
        <v>14464.03577</v>
      </c>
      <c r="H82">
        <v>18270.72</v>
      </c>
      <c r="I82">
        <v>12322.421850000001</v>
      </c>
    </row>
    <row r="83" spans="1:9" x14ac:dyDescent="0.35">
      <c r="A83" t="s">
        <v>152</v>
      </c>
      <c r="B83">
        <v>24075.378783</v>
      </c>
      <c r="C83">
        <v>28443.991976000001</v>
      </c>
      <c r="D83">
        <v>29447.564655999999</v>
      </c>
      <c r="E83">
        <v>19211.929</v>
      </c>
      <c r="F83">
        <v>20254.775214000001</v>
      </c>
      <c r="G83">
        <v>21588.652688999999</v>
      </c>
      <c r="H83">
        <v>37214.275249999999</v>
      </c>
      <c r="I83">
        <v>41952.858067000001</v>
      </c>
    </row>
    <row r="84" spans="1:9" x14ac:dyDescent="0.35">
      <c r="A84" t="s">
        <v>160</v>
      </c>
      <c r="B84">
        <v>46456.706086999999</v>
      </c>
      <c r="C84">
        <v>54758.456095000001</v>
      </c>
      <c r="D84">
        <v>55844.704164000002</v>
      </c>
      <c r="E84">
        <v>49552.758682</v>
      </c>
      <c r="F84">
        <v>54884.162405000003</v>
      </c>
      <c r="G84">
        <v>54615.555213</v>
      </c>
      <c r="H84">
        <v>55812.580900000001</v>
      </c>
      <c r="I84">
        <v>59798.077882999998</v>
      </c>
    </row>
    <row r="85" spans="1:9" x14ac:dyDescent="0.35">
      <c r="A85" t="s">
        <v>153</v>
      </c>
      <c r="B85">
        <v>295811.84100000001</v>
      </c>
      <c r="C85">
        <v>339513.46636000002</v>
      </c>
      <c r="D85">
        <v>350637.41926</v>
      </c>
      <c r="E85">
        <v>271225.65854999999</v>
      </c>
      <c r="F85">
        <v>313227.13107</v>
      </c>
      <c r="G85">
        <v>325904.83674</v>
      </c>
      <c r="H85">
        <v>380663.30314999999</v>
      </c>
      <c r="I85">
        <v>557982.55772000004</v>
      </c>
    </row>
    <row r="86" spans="1:9" x14ac:dyDescent="0.35">
      <c r="A86" t="s">
        <v>154</v>
      </c>
      <c r="B86">
        <v>37673.095912999997</v>
      </c>
      <c r="C86">
        <v>52826.364332999998</v>
      </c>
      <c r="D86">
        <v>61404.65</v>
      </c>
      <c r="E86">
        <v>41678.641544999999</v>
      </c>
      <c r="F86">
        <v>48813.217643000004</v>
      </c>
      <c r="G86">
        <v>56001.495524999998</v>
      </c>
      <c r="H86">
        <v>72951.988249999995</v>
      </c>
      <c r="I86">
        <v>109270.87415</v>
      </c>
    </row>
    <row r="87" spans="1:9" x14ac:dyDescent="0.35">
      <c r="A87" t="s">
        <v>475</v>
      </c>
      <c r="B87">
        <v>1846.9372609</v>
      </c>
      <c r="C87">
        <v>11698.291761</v>
      </c>
      <c r="D87">
        <v>9990.4991310999994</v>
      </c>
      <c r="E87">
        <v>17495.577818000002</v>
      </c>
      <c r="F87">
        <v>11947.027023000001</v>
      </c>
      <c r="G87">
        <v>10184.893049</v>
      </c>
      <c r="H87">
        <v>6637.3382000000001</v>
      </c>
      <c r="I87">
        <v>0</v>
      </c>
    </row>
    <row r="88" spans="1:9" x14ac:dyDescent="0.35">
      <c r="A88" t="s">
        <v>155</v>
      </c>
      <c r="B88">
        <v>50.025913043000003</v>
      </c>
      <c r="C88">
        <v>53.290261905000001</v>
      </c>
      <c r="D88">
        <v>66.365803279000005</v>
      </c>
      <c r="E88">
        <v>57.345454545000003</v>
      </c>
      <c r="F88">
        <v>55.431690476</v>
      </c>
      <c r="G88">
        <v>93.132393442999998</v>
      </c>
      <c r="H88">
        <v>143.60395</v>
      </c>
      <c r="I88">
        <v>263.85351666999998</v>
      </c>
    </row>
    <row r="89" spans="1:9" x14ac:dyDescent="0.35">
      <c r="A89" t="s">
        <v>506</v>
      </c>
      <c r="B89">
        <v>230091.54696000001</v>
      </c>
      <c r="C89">
        <v>299912.38261999999</v>
      </c>
      <c r="D89">
        <v>301434.67460999999</v>
      </c>
      <c r="E89">
        <v>286782.59882000001</v>
      </c>
      <c r="F89">
        <v>390243.81967</v>
      </c>
      <c r="G89">
        <v>439789.91018000001</v>
      </c>
      <c r="H89">
        <v>365869.39140000002</v>
      </c>
      <c r="I89">
        <v>386956.67259999999</v>
      </c>
    </row>
    <row r="90" spans="1:9" x14ac:dyDescent="0.35">
      <c r="A90" t="s">
        <v>61</v>
      </c>
      <c r="B90">
        <v>103074.17143</v>
      </c>
      <c r="C90">
        <v>109889.12175999999</v>
      </c>
      <c r="D90">
        <v>105107.26152</v>
      </c>
      <c r="E90">
        <v>123977.10386</v>
      </c>
      <c r="F90">
        <v>112498.53026</v>
      </c>
      <c r="G90">
        <v>113700.79356999999</v>
      </c>
      <c r="H90">
        <v>110402.09974999999</v>
      </c>
      <c r="I90">
        <v>187417.35995000001</v>
      </c>
    </row>
    <row r="91" spans="1:9" x14ac:dyDescent="0.35">
      <c r="A91" t="s">
        <v>159</v>
      </c>
      <c r="B91">
        <v>131042.95808</v>
      </c>
      <c r="C91">
        <v>135589.12925999999</v>
      </c>
      <c r="D91">
        <v>132991.08473999999</v>
      </c>
      <c r="E91">
        <v>139275.39136000001</v>
      </c>
      <c r="F91">
        <v>133163.38662</v>
      </c>
      <c r="G91">
        <v>124307.16220999999</v>
      </c>
      <c r="H91">
        <v>143031.33720000001</v>
      </c>
      <c r="I91">
        <v>139783.66037999999</v>
      </c>
    </row>
    <row r="92" spans="1:9" x14ac:dyDescent="0.35">
      <c r="A92" t="s">
        <v>157</v>
      </c>
      <c r="B92">
        <v>51.335782608999999</v>
      </c>
      <c r="C92">
        <v>51.014380952000003</v>
      </c>
      <c r="D92">
        <v>60.025491803000001</v>
      </c>
      <c r="E92">
        <v>60.592863635999997</v>
      </c>
      <c r="F92">
        <v>105.74854761</v>
      </c>
      <c r="G92">
        <v>99.825114753999998</v>
      </c>
      <c r="H92">
        <v>62.977849999999997</v>
      </c>
      <c r="I92">
        <v>92.841933333</v>
      </c>
    </row>
    <row r="93" spans="1:9" x14ac:dyDescent="0.35">
      <c r="A93" t="s">
        <v>158</v>
      </c>
      <c r="B93">
        <v>67.374217391000002</v>
      </c>
      <c r="C93">
        <v>68.488261905000002</v>
      </c>
      <c r="D93">
        <v>76.757639343999998</v>
      </c>
      <c r="E93">
        <v>61.553681818000001</v>
      </c>
      <c r="F93">
        <v>145.48138094999999</v>
      </c>
      <c r="G93">
        <v>135.06498361000001</v>
      </c>
      <c r="H93">
        <v>99.8583</v>
      </c>
      <c r="I93">
        <v>118.71686665999999</v>
      </c>
    </row>
    <row r="94" spans="1:9" x14ac:dyDescent="0.35">
      <c r="A94" t="s">
        <v>161</v>
      </c>
      <c r="B94">
        <v>744.53165217000003</v>
      </c>
      <c r="C94">
        <v>740.88719047999996</v>
      </c>
      <c r="D94">
        <v>999.28526228999999</v>
      </c>
      <c r="E94">
        <v>620.84699999999998</v>
      </c>
      <c r="F94">
        <v>664.66738095000005</v>
      </c>
      <c r="G94">
        <v>901.72086884999999</v>
      </c>
      <c r="H94">
        <v>1558.15265</v>
      </c>
      <c r="I94">
        <v>604.17078332999995</v>
      </c>
    </row>
    <row r="95" spans="1:9" x14ac:dyDescent="0.35">
      <c r="A95" t="s">
        <v>162</v>
      </c>
      <c r="B95">
        <v>30.670347826</v>
      </c>
      <c r="C95">
        <v>32.122238095</v>
      </c>
      <c r="D95">
        <v>29.875704918</v>
      </c>
      <c r="E95">
        <v>74.949863636000003</v>
      </c>
      <c r="F95">
        <v>54.469285714000002</v>
      </c>
      <c r="G95">
        <v>47.707606556999998</v>
      </c>
      <c r="H95">
        <v>55.076349999999998</v>
      </c>
      <c r="I95">
        <v>40.900500000000001</v>
      </c>
    </row>
    <row r="96" spans="1:9" x14ac:dyDescent="0.35">
      <c r="A96" t="s">
        <v>163</v>
      </c>
      <c r="B96">
        <v>0</v>
      </c>
      <c r="C96">
        <v>3.9238095238000002E-2</v>
      </c>
      <c r="D96">
        <v>0.22373770492</v>
      </c>
      <c r="E96">
        <v>3.4545454545E-2</v>
      </c>
      <c r="F96">
        <v>1.1942857143000001</v>
      </c>
      <c r="G96">
        <v>0.88072131147999999</v>
      </c>
      <c r="H96">
        <v>0.81799999999999995</v>
      </c>
      <c r="I96">
        <v>1.8368</v>
      </c>
    </row>
    <row r="97" spans="1:9" x14ac:dyDescent="0.35">
      <c r="A97" t="s">
        <v>62</v>
      </c>
      <c r="B97">
        <v>229984.55721999999</v>
      </c>
      <c r="C97">
        <v>263006.21688000002</v>
      </c>
      <c r="D97">
        <v>280764.72006999998</v>
      </c>
      <c r="E97">
        <v>268263.76136</v>
      </c>
      <c r="F97">
        <v>248759.07467</v>
      </c>
      <c r="G97">
        <v>257490.60359000001</v>
      </c>
      <c r="H97">
        <v>310760.55209999997</v>
      </c>
      <c r="I97">
        <v>365480.59960000002</v>
      </c>
    </row>
    <row r="98" spans="1:9" x14ac:dyDescent="0.35">
      <c r="A98" t="s">
        <v>164</v>
      </c>
      <c r="B98">
        <v>761.08795652000003</v>
      </c>
      <c r="C98">
        <v>706.03390476000004</v>
      </c>
      <c r="D98">
        <v>663.59534426000005</v>
      </c>
      <c r="E98">
        <v>435.54690908999999</v>
      </c>
      <c r="F98">
        <v>437.36471428999999</v>
      </c>
      <c r="G98">
        <v>550.23642623000001</v>
      </c>
      <c r="H98">
        <v>601.26004999999998</v>
      </c>
      <c r="I98">
        <v>628.22348333000002</v>
      </c>
    </row>
    <row r="99" spans="1:9" x14ac:dyDescent="0.35">
      <c r="A99" t="s">
        <v>63</v>
      </c>
      <c r="B99">
        <v>10305.91813</v>
      </c>
      <c r="C99">
        <v>9600.4739286000004</v>
      </c>
      <c r="D99">
        <v>9089.7035574000001</v>
      </c>
      <c r="E99">
        <v>7246.4241364</v>
      </c>
      <c r="F99">
        <v>7232.4724047999998</v>
      </c>
      <c r="G99">
        <v>6985.1935409999996</v>
      </c>
      <c r="H99">
        <v>6354.8845499999998</v>
      </c>
      <c r="I99">
        <v>7894.4041999999999</v>
      </c>
    </row>
    <row r="100" spans="1:9" x14ac:dyDescent="0.35">
      <c r="A100" t="s">
        <v>64</v>
      </c>
      <c r="B100">
        <v>23921.458912999999</v>
      </c>
      <c r="C100">
        <v>38340.912167000002</v>
      </c>
      <c r="D100">
        <v>36323.357196999998</v>
      </c>
      <c r="E100">
        <v>26537.064864</v>
      </c>
      <c r="F100">
        <v>27677.983</v>
      </c>
      <c r="G100">
        <v>29574.294918</v>
      </c>
      <c r="H100">
        <v>31085.919900000001</v>
      </c>
      <c r="I100">
        <v>29174.081150000002</v>
      </c>
    </row>
    <row r="101" spans="1:9" x14ac:dyDescent="0.35">
      <c r="A101" t="s">
        <v>476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</row>
    <row r="102" spans="1:9" x14ac:dyDescent="0.35">
      <c r="A102" t="s">
        <v>165</v>
      </c>
      <c r="B102">
        <v>3.2696521739</v>
      </c>
      <c r="C102">
        <v>3.1074761904999999</v>
      </c>
      <c r="D102">
        <v>3.6022950819999999</v>
      </c>
      <c r="E102">
        <v>2.1324545454999999</v>
      </c>
      <c r="F102">
        <v>1.7982619047999999</v>
      </c>
      <c r="G102">
        <v>2.2524590164</v>
      </c>
      <c r="H102">
        <v>1.5182</v>
      </c>
      <c r="I102">
        <v>7.9629333332999996</v>
      </c>
    </row>
    <row r="103" spans="1:9" x14ac:dyDescent="0.35">
      <c r="A103" t="s">
        <v>166</v>
      </c>
      <c r="B103">
        <v>3858.5828261000001</v>
      </c>
      <c r="C103">
        <v>3808.2699047999999</v>
      </c>
      <c r="D103">
        <v>4064.6223770000001</v>
      </c>
      <c r="E103">
        <v>2801.3229999999999</v>
      </c>
      <c r="F103">
        <v>2552.0791666999999</v>
      </c>
      <c r="G103">
        <v>2836.8399180000001</v>
      </c>
      <c r="H103">
        <v>3599.6774</v>
      </c>
      <c r="I103">
        <v>4717.7636499999999</v>
      </c>
    </row>
    <row r="104" spans="1:9" x14ac:dyDescent="0.35">
      <c r="A104" t="s">
        <v>167</v>
      </c>
      <c r="B104">
        <v>21.706695652000001</v>
      </c>
      <c r="C104">
        <v>12.039380952</v>
      </c>
      <c r="D104">
        <v>8.5186885245999999</v>
      </c>
      <c r="E104">
        <v>1.6910909090999999</v>
      </c>
      <c r="F104">
        <v>0.96928571428999999</v>
      </c>
      <c r="G104">
        <v>2.5672950819999998</v>
      </c>
      <c r="H104">
        <v>3.6286</v>
      </c>
      <c r="I104">
        <v>21.377133333</v>
      </c>
    </row>
    <row r="105" spans="1:9" x14ac:dyDescent="0.35">
      <c r="A105" t="s">
        <v>267</v>
      </c>
      <c r="B105">
        <v>1230.1674347999999</v>
      </c>
      <c r="C105">
        <v>1376.9240476</v>
      </c>
      <c r="D105">
        <v>1409.4010820000001</v>
      </c>
      <c r="E105">
        <v>1202.3704545000001</v>
      </c>
      <c r="F105">
        <v>1295.1313333000001</v>
      </c>
      <c r="G105">
        <v>1331.3696393</v>
      </c>
      <c r="H105">
        <v>1853.2414000000001</v>
      </c>
      <c r="I105">
        <v>2608.2999332999998</v>
      </c>
    </row>
    <row r="106" spans="1:9" x14ac:dyDescent="0.35">
      <c r="A106" t="s">
        <v>168</v>
      </c>
      <c r="B106">
        <v>48194.355390999997</v>
      </c>
      <c r="C106">
        <v>47592.159809999997</v>
      </c>
      <c r="D106">
        <v>45777.988966999998</v>
      </c>
      <c r="E106">
        <v>39619.428409</v>
      </c>
      <c r="F106">
        <v>40214.215167000002</v>
      </c>
      <c r="G106">
        <v>41685.996033000003</v>
      </c>
      <c r="H106">
        <v>37764.70175</v>
      </c>
      <c r="I106">
        <v>54373.591117000004</v>
      </c>
    </row>
    <row r="107" spans="1:9" x14ac:dyDescent="0.35">
      <c r="A107" t="s">
        <v>169</v>
      </c>
      <c r="B107">
        <v>5717.9790000000003</v>
      </c>
      <c r="C107">
        <v>6360.5800476000004</v>
      </c>
      <c r="D107">
        <v>6065.7418525000003</v>
      </c>
      <c r="E107">
        <v>6446.6867726999999</v>
      </c>
      <c r="F107">
        <v>6689.0119047999997</v>
      </c>
      <c r="G107">
        <v>7246.8852294999997</v>
      </c>
      <c r="H107">
        <v>7960.3469500000001</v>
      </c>
      <c r="I107">
        <v>9463.2343832999995</v>
      </c>
    </row>
    <row r="108" spans="1:9" x14ac:dyDescent="0.35">
      <c r="A108" t="s">
        <v>171</v>
      </c>
      <c r="B108">
        <v>12.509043478000001</v>
      </c>
      <c r="C108">
        <v>12.835261903999999</v>
      </c>
      <c r="D108">
        <v>15.680786885</v>
      </c>
      <c r="E108">
        <v>12.655181818000001</v>
      </c>
      <c r="F108">
        <v>20.841857142999999</v>
      </c>
      <c r="G108">
        <v>21.053491803</v>
      </c>
      <c r="H108">
        <v>6.8779500000000002</v>
      </c>
      <c r="I108">
        <v>29.735166667000001</v>
      </c>
    </row>
    <row r="109" spans="1:9" x14ac:dyDescent="0.35">
      <c r="A109" t="s">
        <v>170</v>
      </c>
      <c r="B109">
        <v>7715.5147391</v>
      </c>
      <c r="C109">
        <v>8910.9844286000007</v>
      </c>
      <c r="D109">
        <v>7860.6297212999998</v>
      </c>
      <c r="E109">
        <v>7603.3399091000001</v>
      </c>
      <c r="F109">
        <v>5897.5167856999997</v>
      </c>
      <c r="G109">
        <v>7381.8238524999997</v>
      </c>
      <c r="H109">
        <v>19493.4139</v>
      </c>
      <c r="I109">
        <v>4225.3993667000004</v>
      </c>
    </row>
    <row r="110" spans="1:9" x14ac:dyDescent="0.35">
      <c r="A110" t="s">
        <v>172</v>
      </c>
      <c r="B110">
        <v>225270.83369999999</v>
      </c>
      <c r="C110">
        <v>267446.93455000001</v>
      </c>
      <c r="D110">
        <v>272030.98820999998</v>
      </c>
      <c r="E110">
        <v>209260.77523</v>
      </c>
      <c r="F110">
        <v>213512.10517</v>
      </c>
      <c r="G110">
        <v>196920.32190000001</v>
      </c>
      <c r="H110">
        <v>211215.6341</v>
      </c>
      <c r="I110">
        <v>196307.54722000001</v>
      </c>
    </row>
    <row r="111" spans="1:9" x14ac:dyDescent="0.35">
      <c r="A111" t="s">
        <v>174</v>
      </c>
      <c r="B111">
        <v>35180.384522</v>
      </c>
      <c r="C111">
        <v>36663.893261999998</v>
      </c>
      <c r="D111">
        <v>36524.084852</v>
      </c>
      <c r="E111">
        <v>41143.197500000002</v>
      </c>
      <c r="F111">
        <v>44279.940024000003</v>
      </c>
      <c r="G111">
        <v>41384.427130999997</v>
      </c>
      <c r="H111">
        <v>34535.436450000001</v>
      </c>
      <c r="I111">
        <v>58138.776082999997</v>
      </c>
    </row>
    <row r="112" spans="1:9" x14ac:dyDescent="0.35">
      <c r="A112" t="s">
        <v>177</v>
      </c>
      <c r="B112">
        <v>25054.516738999999</v>
      </c>
      <c r="C112">
        <v>26720.159309999999</v>
      </c>
      <c r="D112">
        <v>31024.115803000001</v>
      </c>
      <c r="E112">
        <v>25882.175408999999</v>
      </c>
      <c r="F112">
        <v>27759.515571</v>
      </c>
      <c r="G112">
        <v>26382.074197000002</v>
      </c>
      <c r="H112">
        <v>32907.422599999998</v>
      </c>
      <c r="I112">
        <v>41496.929882999997</v>
      </c>
    </row>
    <row r="113" spans="1:9" x14ac:dyDescent="0.35">
      <c r="A113" t="s">
        <v>173</v>
      </c>
      <c r="B113">
        <v>74593.186260999995</v>
      </c>
      <c r="C113">
        <v>94626.959667000003</v>
      </c>
      <c r="D113">
        <v>95395.060016000003</v>
      </c>
      <c r="E113">
        <v>88243.000272999998</v>
      </c>
      <c r="F113">
        <v>85327.682476000002</v>
      </c>
      <c r="G113">
        <v>82800.094343999997</v>
      </c>
      <c r="H113">
        <v>127324.79549999999</v>
      </c>
      <c r="I113">
        <v>64045.678749999999</v>
      </c>
    </row>
    <row r="114" spans="1:9" x14ac:dyDescent="0.35">
      <c r="A114" t="s">
        <v>95</v>
      </c>
      <c r="B114">
        <v>16775.499027000002</v>
      </c>
      <c r="C114">
        <v>15987.837793000001</v>
      </c>
      <c r="D114">
        <v>19255.810402999999</v>
      </c>
      <c r="E114">
        <v>14301.518735</v>
      </c>
      <c r="F114">
        <v>17310.624903</v>
      </c>
      <c r="G114">
        <v>17446.046246000002</v>
      </c>
      <c r="H114">
        <v>20674.413608999999</v>
      </c>
      <c r="I114">
        <v>33488.609093999999</v>
      </c>
    </row>
    <row r="115" spans="1:9" x14ac:dyDescent="0.35">
      <c r="A115" t="s">
        <v>176</v>
      </c>
      <c r="B115">
        <v>4765.5778260999996</v>
      </c>
      <c r="C115">
        <v>5117.0470714000003</v>
      </c>
      <c r="D115">
        <v>5720.9570819999999</v>
      </c>
      <c r="E115">
        <v>5970.9028636000003</v>
      </c>
      <c r="F115">
        <v>6369.6808094999997</v>
      </c>
      <c r="G115">
        <v>7818.4283279000001</v>
      </c>
      <c r="H115">
        <v>14324.25045</v>
      </c>
      <c r="I115">
        <v>28599.589817</v>
      </c>
    </row>
    <row r="116" spans="1:9" x14ac:dyDescent="0.35">
      <c r="A116" t="s">
        <v>179</v>
      </c>
      <c r="B116">
        <v>7275.7923913000004</v>
      </c>
      <c r="C116">
        <v>11077.234119000001</v>
      </c>
      <c r="D116">
        <v>9768.8817213000002</v>
      </c>
      <c r="E116">
        <v>5465.6468181999999</v>
      </c>
      <c r="F116">
        <v>5803.7804524000003</v>
      </c>
      <c r="G116">
        <v>7116.1076720999999</v>
      </c>
      <c r="H116">
        <v>13035.65725</v>
      </c>
      <c r="I116">
        <v>20281.688549999999</v>
      </c>
    </row>
    <row r="117" spans="1:9" x14ac:dyDescent="0.35">
      <c r="A117" t="s">
        <v>180</v>
      </c>
      <c r="B117">
        <v>263691.79096000001</v>
      </c>
      <c r="C117">
        <v>275013.93105000001</v>
      </c>
      <c r="D117">
        <v>276337.36374</v>
      </c>
      <c r="E117">
        <v>154840.81709</v>
      </c>
      <c r="F117">
        <v>225741.44614000001</v>
      </c>
      <c r="G117">
        <v>232838.9289</v>
      </c>
      <c r="H117">
        <v>160718.5099</v>
      </c>
      <c r="I117">
        <v>197571.43867999999</v>
      </c>
    </row>
    <row r="118" spans="1:9" x14ac:dyDescent="0.35">
      <c r="A118" t="s">
        <v>181</v>
      </c>
      <c r="B118">
        <v>2275.7116956999998</v>
      </c>
      <c r="C118">
        <v>2731.7821905000001</v>
      </c>
      <c r="D118">
        <v>2616.5178688999999</v>
      </c>
      <c r="E118">
        <v>1075.6528636</v>
      </c>
      <c r="F118">
        <v>1108.9484047999999</v>
      </c>
      <c r="G118">
        <v>1113.5920000000001</v>
      </c>
      <c r="H118">
        <v>1270.1960999999999</v>
      </c>
      <c r="I118">
        <v>2023.1275333000001</v>
      </c>
    </row>
    <row r="119" spans="1:9" x14ac:dyDescent="0.35">
      <c r="A119" t="s">
        <v>478</v>
      </c>
      <c r="H119">
        <v>895.90509999999995</v>
      </c>
      <c r="I119">
        <v>0</v>
      </c>
    </row>
    <row r="120" spans="1:9" x14ac:dyDescent="0.35">
      <c r="A120" t="s">
        <v>65</v>
      </c>
      <c r="B120">
        <v>10141.434652</v>
      </c>
      <c r="C120">
        <v>12042.616547</v>
      </c>
      <c r="D120">
        <v>11645.597212999999</v>
      </c>
      <c r="E120">
        <v>9416.2559999999994</v>
      </c>
      <c r="F120">
        <v>8808.0986429000004</v>
      </c>
      <c r="G120">
        <v>9168.5702786999991</v>
      </c>
      <c r="H120">
        <v>11977.2575</v>
      </c>
      <c r="I120">
        <v>13570.730466000001</v>
      </c>
    </row>
    <row r="121" spans="1:9" x14ac:dyDescent="0.35">
      <c r="A121" t="s">
        <v>182</v>
      </c>
      <c r="B121">
        <v>251530.45522</v>
      </c>
      <c r="C121">
        <v>191199.31925999999</v>
      </c>
      <c r="D121">
        <v>163360.61877</v>
      </c>
      <c r="E121">
        <v>75069.970908999996</v>
      </c>
      <c r="F121">
        <v>117575.65528000001</v>
      </c>
      <c r="G121">
        <v>107136.72826</v>
      </c>
      <c r="H121">
        <v>72717.651750000005</v>
      </c>
      <c r="I121">
        <v>64979.506032999998</v>
      </c>
    </row>
    <row r="122" spans="1:9" x14ac:dyDescent="0.35">
      <c r="A122" t="s">
        <v>183</v>
      </c>
      <c r="B122">
        <v>56794.236129999998</v>
      </c>
      <c r="C122">
        <v>58303.497261999997</v>
      </c>
      <c r="D122">
        <v>58646.793934000001</v>
      </c>
      <c r="E122">
        <v>40741.483364</v>
      </c>
      <c r="F122">
        <v>54773.861119000001</v>
      </c>
      <c r="G122">
        <v>51248.660771000003</v>
      </c>
      <c r="H122">
        <v>50477.458500000001</v>
      </c>
      <c r="I122">
        <v>53147.550450000002</v>
      </c>
    </row>
    <row r="123" spans="1:9" x14ac:dyDescent="0.35">
      <c r="A123" t="s">
        <v>184</v>
      </c>
      <c r="B123">
        <v>24080.910478000002</v>
      </c>
      <c r="C123">
        <v>24297.532451999999</v>
      </c>
      <c r="D123">
        <v>22982.520098000001</v>
      </c>
      <c r="E123">
        <v>21350.341591</v>
      </c>
      <c r="F123">
        <v>23655.936952</v>
      </c>
      <c r="G123">
        <v>26839.007819999999</v>
      </c>
      <c r="H123">
        <v>34303.1607</v>
      </c>
      <c r="I123">
        <v>29432.552250000001</v>
      </c>
    </row>
    <row r="124" spans="1:9" x14ac:dyDescent="0.35">
      <c r="A124" t="s">
        <v>186</v>
      </c>
      <c r="B124">
        <v>48565.163912999997</v>
      </c>
      <c r="C124">
        <v>49866.398094999997</v>
      </c>
      <c r="D124">
        <v>49877.107164000001</v>
      </c>
      <c r="E124">
        <v>100397.06703999999</v>
      </c>
      <c r="F124">
        <v>96395.503643000004</v>
      </c>
      <c r="G124">
        <v>83657.703787000006</v>
      </c>
      <c r="H124">
        <v>62198.424650000001</v>
      </c>
      <c r="I124">
        <v>37959.739433000002</v>
      </c>
    </row>
    <row r="125" spans="1:9" x14ac:dyDescent="0.35">
      <c r="A125" t="s">
        <v>187</v>
      </c>
      <c r="B125">
        <v>56206.993564999997</v>
      </c>
      <c r="C125">
        <v>55362.202713999999</v>
      </c>
      <c r="D125">
        <v>65389.179196999998</v>
      </c>
      <c r="E125">
        <v>79646.958455</v>
      </c>
      <c r="F125">
        <v>72519.588428999996</v>
      </c>
      <c r="G125">
        <v>67647.938328000004</v>
      </c>
      <c r="H125">
        <v>50794.160250000001</v>
      </c>
      <c r="I125">
        <v>55851.182967000001</v>
      </c>
    </row>
    <row r="126" spans="1:9" x14ac:dyDescent="0.35">
      <c r="A126" t="s">
        <v>67</v>
      </c>
      <c r="B126">
        <v>216254.20548</v>
      </c>
      <c r="C126">
        <v>241717.63693000001</v>
      </c>
      <c r="D126">
        <v>266054.15292000002</v>
      </c>
      <c r="E126">
        <v>233390.23376999999</v>
      </c>
      <c r="F126">
        <v>260752.58924</v>
      </c>
      <c r="G126">
        <v>287194.68427999999</v>
      </c>
      <c r="H126">
        <v>320619.84505</v>
      </c>
      <c r="I126">
        <v>323369.65652000002</v>
      </c>
    </row>
    <row r="127" spans="1:9" x14ac:dyDescent="0.35">
      <c r="A127" t="s">
        <v>188</v>
      </c>
      <c r="B127">
        <v>12944.105433999999</v>
      </c>
      <c r="C127">
        <v>13885.476500000001</v>
      </c>
      <c r="D127">
        <v>15614.008098</v>
      </c>
      <c r="E127">
        <v>13030.019181</v>
      </c>
      <c r="F127">
        <v>21352.655905</v>
      </c>
      <c r="G127">
        <v>20562.011148000001</v>
      </c>
      <c r="H127">
        <v>15576.204449999999</v>
      </c>
      <c r="I127">
        <v>31542.929917000001</v>
      </c>
    </row>
    <row r="128" spans="1:9" x14ac:dyDescent="0.35">
      <c r="A128" t="s">
        <v>189</v>
      </c>
      <c r="B128">
        <v>694431.18943000003</v>
      </c>
      <c r="C128">
        <v>787951.87335999997</v>
      </c>
      <c r="D128">
        <v>830292.59287000005</v>
      </c>
      <c r="E128">
        <v>643514.21582000004</v>
      </c>
      <c r="F128">
        <v>773691.30743000004</v>
      </c>
      <c r="G128">
        <v>804328.37002000003</v>
      </c>
      <c r="H128">
        <v>876569.2267</v>
      </c>
      <c r="I128">
        <v>835664.14521999995</v>
      </c>
    </row>
    <row r="129" spans="1:9" x14ac:dyDescent="0.35">
      <c r="A129" t="s">
        <v>190</v>
      </c>
      <c r="B129">
        <v>3951.5028695999999</v>
      </c>
      <c r="C129">
        <v>5174.2476905000003</v>
      </c>
      <c r="D129">
        <v>4470.0011310999998</v>
      </c>
      <c r="E129">
        <v>2816.5594999999998</v>
      </c>
      <c r="F129">
        <v>3391.8750476</v>
      </c>
      <c r="G129">
        <v>2933.4526721000002</v>
      </c>
      <c r="H129">
        <v>1784.4155499999999</v>
      </c>
      <c r="I129">
        <v>3119.0576999999998</v>
      </c>
    </row>
    <row r="130" spans="1:9" x14ac:dyDescent="0.35">
      <c r="A130" t="s">
        <v>68</v>
      </c>
      <c r="B130">
        <v>254930.86113</v>
      </c>
      <c r="C130">
        <v>280826.24086000002</v>
      </c>
      <c r="D130">
        <v>287057.50777000003</v>
      </c>
      <c r="E130">
        <v>249072.52090999999</v>
      </c>
      <c r="F130">
        <v>267835.91064000002</v>
      </c>
      <c r="G130">
        <v>304786.01102999999</v>
      </c>
      <c r="H130">
        <v>456711.41960000002</v>
      </c>
      <c r="I130">
        <v>0</v>
      </c>
    </row>
    <row r="131" spans="1:9" x14ac:dyDescent="0.35">
      <c r="A131" t="s">
        <v>191</v>
      </c>
      <c r="B131">
        <v>18482.580086999998</v>
      </c>
      <c r="C131">
        <v>15523.089094999999</v>
      </c>
      <c r="D131">
        <v>15930.17577</v>
      </c>
      <c r="E131">
        <v>10330.567818</v>
      </c>
      <c r="F131">
        <v>11458.624785</v>
      </c>
      <c r="G131">
        <v>12584.545295</v>
      </c>
      <c r="H131">
        <v>24133.368600000002</v>
      </c>
      <c r="I131">
        <v>24683.684916999999</v>
      </c>
    </row>
    <row r="132" spans="1:9" x14ac:dyDescent="0.35">
      <c r="A132" t="s">
        <v>69</v>
      </c>
      <c r="B132">
        <v>4755.6327825999997</v>
      </c>
      <c r="C132">
        <v>5275.1428095000001</v>
      </c>
      <c r="D132">
        <v>4514.8661966999998</v>
      </c>
      <c r="E132">
        <v>2971.6455000000001</v>
      </c>
      <c r="F132">
        <v>2697.1645475999999</v>
      </c>
      <c r="G132">
        <v>2933.8046884999999</v>
      </c>
      <c r="H132">
        <v>3657.9776499999998</v>
      </c>
      <c r="I132">
        <v>5526.268</v>
      </c>
    </row>
    <row r="133" spans="1:9" x14ac:dyDescent="0.35">
      <c r="A133" t="s">
        <v>192</v>
      </c>
      <c r="B133">
        <v>10858.220695</v>
      </c>
      <c r="C133">
        <v>10826.987832999999</v>
      </c>
      <c r="D133">
        <v>9676.6374754000008</v>
      </c>
      <c r="E133">
        <v>7698.9925455000002</v>
      </c>
      <c r="F133">
        <v>9677.8143333000007</v>
      </c>
      <c r="G133">
        <v>11521.129836</v>
      </c>
      <c r="H133">
        <v>15188.330400000001</v>
      </c>
      <c r="I133">
        <v>22163.229800000001</v>
      </c>
    </row>
    <row r="134" spans="1:9" x14ac:dyDescent="0.35">
      <c r="A134" t="s">
        <v>193</v>
      </c>
      <c r="B134">
        <v>104735.82743</v>
      </c>
      <c r="C134">
        <v>112613.45566000001</v>
      </c>
      <c r="D134">
        <v>122498.19044000001</v>
      </c>
      <c r="E134">
        <v>97135.197954999996</v>
      </c>
      <c r="F134">
        <v>92331.425333000007</v>
      </c>
      <c r="G134">
        <v>92558.244000000006</v>
      </c>
      <c r="H134">
        <v>117553.1658</v>
      </c>
      <c r="I134">
        <v>104813.93861</v>
      </c>
    </row>
    <row r="135" spans="1:9" x14ac:dyDescent="0.35">
      <c r="A135" t="s">
        <v>479</v>
      </c>
      <c r="B135">
        <v>142.75982608999999</v>
      </c>
      <c r="C135">
        <v>246.25459523999999</v>
      </c>
      <c r="D135">
        <v>589.75386885</v>
      </c>
      <c r="E135">
        <v>500.00513635999999</v>
      </c>
      <c r="F135">
        <v>422.71290476000001</v>
      </c>
      <c r="G135">
        <v>555.61795082000003</v>
      </c>
      <c r="H135">
        <v>41.409399999999998</v>
      </c>
      <c r="I135">
        <v>0</v>
      </c>
    </row>
    <row r="136" spans="1:9" x14ac:dyDescent="0.35">
      <c r="A136" t="s">
        <v>194</v>
      </c>
      <c r="B136">
        <v>4809.7076956999999</v>
      </c>
      <c r="C136">
        <v>5861.8232380999998</v>
      </c>
      <c r="D136">
        <v>5670.2134097999997</v>
      </c>
      <c r="E136">
        <v>6353.8502726999996</v>
      </c>
      <c r="F136">
        <v>5510.8002857000001</v>
      </c>
      <c r="G136">
        <v>5001.4340163999996</v>
      </c>
      <c r="H136">
        <v>9181.2199999999993</v>
      </c>
      <c r="I136">
        <v>7989.7892000000002</v>
      </c>
    </row>
    <row r="137" spans="1:9" x14ac:dyDescent="0.35">
      <c r="A137" t="s">
        <v>208</v>
      </c>
      <c r="B137">
        <v>9717.5023044000009</v>
      </c>
      <c r="C137">
        <v>11405.373380999999</v>
      </c>
      <c r="D137">
        <v>11922.107884999999</v>
      </c>
      <c r="E137">
        <v>7574.4394091000004</v>
      </c>
      <c r="F137">
        <v>6644.5099048000002</v>
      </c>
      <c r="G137">
        <v>7795.1641966999996</v>
      </c>
      <c r="H137">
        <v>11082.29905</v>
      </c>
      <c r="I137">
        <v>10624.030483</v>
      </c>
    </row>
    <row r="138" spans="1:9" x14ac:dyDescent="0.35">
      <c r="A138" t="s">
        <v>480</v>
      </c>
      <c r="E138">
        <v>61.892636363999998</v>
      </c>
      <c r="F138">
        <v>32.419952381000002</v>
      </c>
      <c r="G138">
        <v>22.321934425999999</v>
      </c>
      <c r="H138">
        <v>0</v>
      </c>
      <c r="I138">
        <v>0</v>
      </c>
    </row>
    <row r="139" spans="1:9" x14ac:dyDescent="0.35">
      <c r="A139" t="s">
        <v>235</v>
      </c>
      <c r="B139">
        <v>15410.768434</v>
      </c>
      <c r="C139">
        <v>15865.737261</v>
      </c>
      <c r="D139">
        <v>13711.435409</v>
      </c>
      <c r="E139">
        <v>7978.2863636000002</v>
      </c>
      <c r="F139">
        <v>7956.0198332999998</v>
      </c>
      <c r="G139">
        <v>8363.0127704999995</v>
      </c>
      <c r="H139">
        <v>7835.5160999999998</v>
      </c>
      <c r="I139">
        <v>6034.3326166999996</v>
      </c>
    </row>
    <row r="140" spans="1:9" x14ac:dyDescent="0.35">
      <c r="A140" t="s">
        <v>70</v>
      </c>
      <c r="B140">
        <v>8193.0627390999998</v>
      </c>
      <c r="C140">
        <v>8956.6379761999997</v>
      </c>
      <c r="D140">
        <v>8875.2830819999999</v>
      </c>
      <c r="E140">
        <v>11216.979818</v>
      </c>
      <c r="F140">
        <v>8599.6772142999998</v>
      </c>
      <c r="G140">
        <v>7367.1960327999996</v>
      </c>
      <c r="H140">
        <v>4384.4763000000003</v>
      </c>
      <c r="I140">
        <v>9959.6942166999997</v>
      </c>
    </row>
    <row r="141" spans="1:9" x14ac:dyDescent="0.35">
      <c r="A141" t="s">
        <v>196</v>
      </c>
      <c r="B141">
        <v>919.99304347999998</v>
      </c>
      <c r="C141">
        <v>2166.5609048000001</v>
      </c>
      <c r="D141">
        <v>2414.3288689000001</v>
      </c>
      <c r="E141">
        <v>940.76204544999996</v>
      </c>
      <c r="F141">
        <v>966.68045238000002</v>
      </c>
      <c r="G141">
        <v>957.75475410000001</v>
      </c>
      <c r="H141">
        <v>494.69125000000003</v>
      </c>
      <c r="I141">
        <v>1212.2500167000001</v>
      </c>
    </row>
    <row r="142" spans="1:9" x14ac:dyDescent="0.35">
      <c r="A142" t="s">
        <v>197</v>
      </c>
      <c r="B142">
        <v>161.06030435</v>
      </c>
      <c r="C142">
        <v>205.25311905000001</v>
      </c>
      <c r="D142">
        <v>207.14606556999999</v>
      </c>
      <c r="E142">
        <v>178.12254544999999</v>
      </c>
      <c r="F142">
        <v>172.81297619</v>
      </c>
      <c r="G142">
        <v>188.62465574000001</v>
      </c>
      <c r="H142">
        <v>120.6313</v>
      </c>
      <c r="I142">
        <v>374.47956667</v>
      </c>
    </row>
    <row r="143" spans="1:9" x14ac:dyDescent="0.35">
      <c r="A143" t="s">
        <v>71</v>
      </c>
      <c r="B143">
        <v>244638.63991</v>
      </c>
      <c r="C143">
        <v>265354.99618999998</v>
      </c>
      <c r="D143">
        <v>257171.83846</v>
      </c>
      <c r="E143">
        <v>196943.63214</v>
      </c>
      <c r="F143">
        <v>241935.35149999999</v>
      </c>
      <c r="G143">
        <v>238506.10238</v>
      </c>
      <c r="H143">
        <v>218291.39655</v>
      </c>
      <c r="I143">
        <v>265705.46435000002</v>
      </c>
    </row>
    <row r="144" spans="1:9" x14ac:dyDescent="0.35">
      <c r="A144" t="s">
        <v>508</v>
      </c>
      <c r="B144">
        <v>41.902565217000003</v>
      </c>
      <c r="C144">
        <v>64.509071429000002</v>
      </c>
      <c r="D144">
        <v>70.659475409999999</v>
      </c>
      <c r="E144">
        <v>71.697181818000004</v>
      </c>
      <c r="F144">
        <v>63.062690476</v>
      </c>
      <c r="G144">
        <v>87.730213114999998</v>
      </c>
      <c r="H144">
        <v>72.065899999999999</v>
      </c>
      <c r="I144">
        <v>71.674400000000006</v>
      </c>
    </row>
    <row r="145" spans="1:9" x14ac:dyDescent="0.35">
      <c r="A145" t="s">
        <v>198</v>
      </c>
      <c r="B145">
        <v>23962.714651999999</v>
      </c>
      <c r="C145">
        <v>28714.820024000001</v>
      </c>
      <c r="D145">
        <v>27954.210115000002</v>
      </c>
      <c r="E145">
        <v>20740.449317999999</v>
      </c>
      <c r="F145">
        <v>26896.340905000001</v>
      </c>
      <c r="G145">
        <v>28618.422213000002</v>
      </c>
      <c r="H145">
        <v>39986.024250000002</v>
      </c>
      <c r="I145">
        <v>14671.786566000001</v>
      </c>
    </row>
    <row r="146" spans="1:9" x14ac:dyDescent="0.35">
      <c r="A146" t="s">
        <v>204</v>
      </c>
      <c r="B146">
        <v>2186.3196087000001</v>
      </c>
      <c r="C146">
        <v>2535.6800238000001</v>
      </c>
      <c r="D146">
        <v>2900.8518524999999</v>
      </c>
      <c r="E146">
        <v>2474.4509545000001</v>
      </c>
      <c r="F146">
        <v>2442.7977142999998</v>
      </c>
      <c r="G146">
        <v>2305.1398361000001</v>
      </c>
      <c r="H146">
        <v>1421.0514499999999</v>
      </c>
      <c r="I146">
        <v>979.94709999999998</v>
      </c>
    </row>
    <row r="147" spans="1:9" x14ac:dyDescent="0.35">
      <c r="A147" t="s">
        <v>199</v>
      </c>
      <c r="B147">
        <v>26341.394783</v>
      </c>
      <c r="C147">
        <v>30157.855333</v>
      </c>
      <c r="D147">
        <v>26233.940672000001</v>
      </c>
      <c r="E147">
        <v>13008.692681</v>
      </c>
      <c r="F147">
        <v>15016.117738000001</v>
      </c>
      <c r="G147">
        <v>14960.333737000001</v>
      </c>
      <c r="H147">
        <v>13539.09355</v>
      </c>
      <c r="I147">
        <v>19100.866216999999</v>
      </c>
    </row>
    <row r="148" spans="1:9" x14ac:dyDescent="0.35">
      <c r="A148" t="s">
        <v>213</v>
      </c>
      <c r="B148">
        <v>10071.521651999999</v>
      </c>
      <c r="C148">
        <v>11206.441309</v>
      </c>
      <c r="D148">
        <v>10374.948623</v>
      </c>
      <c r="E148">
        <v>8240.2138181999999</v>
      </c>
      <c r="F148">
        <v>7210.7250237999997</v>
      </c>
      <c r="G148">
        <v>7022.8942623000003</v>
      </c>
      <c r="H148">
        <v>7607.5299500000001</v>
      </c>
      <c r="I148">
        <v>22027.583350000001</v>
      </c>
    </row>
    <row r="149" spans="1:9" x14ac:dyDescent="0.35">
      <c r="A149" t="s">
        <v>73</v>
      </c>
      <c r="B149">
        <v>1383.5571304</v>
      </c>
      <c r="C149">
        <v>1987.0877381</v>
      </c>
      <c r="D149">
        <v>1974.0926393</v>
      </c>
      <c r="E149">
        <v>1243.1986363999999</v>
      </c>
      <c r="F149">
        <v>1274.2057619</v>
      </c>
      <c r="G149">
        <v>1460.0129999999999</v>
      </c>
      <c r="H149">
        <v>1780.3758</v>
      </c>
      <c r="I149">
        <v>2392.5995167000001</v>
      </c>
    </row>
    <row r="150" spans="1:9" x14ac:dyDescent="0.35">
      <c r="A150" t="s">
        <v>206</v>
      </c>
      <c r="B150">
        <v>0.12304347826000001</v>
      </c>
      <c r="C150">
        <v>1.6654761905</v>
      </c>
      <c r="D150">
        <v>1.5468852459</v>
      </c>
      <c r="E150">
        <v>0.81363636364000003</v>
      </c>
      <c r="F150">
        <v>2.2611428570999998</v>
      </c>
      <c r="G150">
        <v>2.0873114753999999</v>
      </c>
      <c r="H150">
        <v>1.3465</v>
      </c>
      <c r="I150">
        <v>2.7187000000000001</v>
      </c>
    </row>
    <row r="151" spans="1:9" x14ac:dyDescent="0.35">
      <c r="A151" t="s">
        <v>200</v>
      </c>
      <c r="B151">
        <v>15.426</v>
      </c>
      <c r="C151">
        <v>12.521404760999999</v>
      </c>
      <c r="D151">
        <v>11.756786885</v>
      </c>
      <c r="E151">
        <v>10.534909089999999</v>
      </c>
      <c r="F151">
        <v>11.591523809</v>
      </c>
      <c r="G151">
        <v>9.0306065574000005</v>
      </c>
      <c r="H151">
        <v>14.47185</v>
      </c>
      <c r="I151">
        <v>11.862316666</v>
      </c>
    </row>
    <row r="152" spans="1:9" x14ac:dyDescent="0.35">
      <c r="A152" t="s">
        <v>72</v>
      </c>
      <c r="B152">
        <v>203803.83600000001</v>
      </c>
      <c r="C152">
        <v>257706.32190000001</v>
      </c>
      <c r="D152">
        <v>252537.27974999999</v>
      </c>
      <c r="E152">
        <v>149054.24600000001</v>
      </c>
      <c r="F152">
        <v>173638.11231</v>
      </c>
      <c r="G152">
        <v>216752.66615999999</v>
      </c>
      <c r="H152">
        <v>338312.12680000003</v>
      </c>
      <c r="I152">
        <v>187841.36676999999</v>
      </c>
    </row>
    <row r="153" spans="1:9" x14ac:dyDescent="0.35">
      <c r="A153" t="s">
        <v>209</v>
      </c>
      <c r="B153">
        <v>11390.402695000001</v>
      </c>
      <c r="C153">
        <v>11360.009881</v>
      </c>
      <c r="D153">
        <v>10738.699049000001</v>
      </c>
      <c r="E153">
        <v>5599.8100455000003</v>
      </c>
      <c r="F153">
        <v>6881.7436905000004</v>
      </c>
      <c r="G153">
        <v>6752.2471148000004</v>
      </c>
      <c r="H153">
        <v>6656.6068999999998</v>
      </c>
      <c r="I153">
        <v>19431.201267</v>
      </c>
    </row>
    <row r="154" spans="1:9" x14ac:dyDescent="0.35">
      <c r="A154" t="s">
        <v>214</v>
      </c>
      <c r="B154">
        <v>2807.1204348000001</v>
      </c>
      <c r="C154">
        <v>3433.7872857000002</v>
      </c>
      <c r="D154">
        <v>3215.1155738000002</v>
      </c>
      <c r="E154">
        <v>2145.0450455</v>
      </c>
      <c r="F154">
        <v>1793.7067380999999</v>
      </c>
      <c r="G154">
        <v>1740.1046557</v>
      </c>
      <c r="H154">
        <v>1806.3362999999999</v>
      </c>
      <c r="I154">
        <v>2034.9712333</v>
      </c>
    </row>
    <row r="155" spans="1:9" x14ac:dyDescent="0.35">
      <c r="A155" t="s">
        <v>74</v>
      </c>
      <c r="B155">
        <v>26685.204435</v>
      </c>
      <c r="C155">
        <v>38311.247405000002</v>
      </c>
      <c r="D155">
        <v>37041.586884999997</v>
      </c>
      <c r="E155">
        <v>19669.050408999999</v>
      </c>
      <c r="F155">
        <v>21604.09431</v>
      </c>
      <c r="G155">
        <v>24302.755459</v>
      </c>
      <c r="H155">
        <v>39766.46615</v>
      </c>
      <c r="I155">
        <v>40594.860166999999</v>
      </c>
    </row>
    <row r="156" spans="1:9" x14ac:dyDescent="0.35">
      <c r="A156" t="s">
        <v>75</v>
      </c>
      <c r="B156">
        <v>84084.622912999999</v>
      </c>
      <c r="C156">
        <v>101023.56342000001</v>
      </c>
      <c r="D156">
        <v>96246.111474999998</v>
      </c>
      <c r="E156">
        <v>54134.898091000003</v>
      </c>
      <c r="F156">
        <v>57539.697429</v>
      </c>
      <c r="G156">
        <v>55624.294868999998</v>
      </c>
      <c r="H156">
        <v>73055.70955</v>
      </c>
      <c r="I156">
        <v>59891.462433000001</v>
      </c>
    </row>
    <row r="157" spans="1:9" x14ac:dyDescent="0.35">
      <c r="A157" t="s">
        <v>211</v>
      </c>
      <c r="B157">
        <v>2219.6076087000001</v>
      </c>
      <c r="C157">
        <v>2663.1407380999999</v>
      </c>
      <c r="D157">
        <v>2692.7215574000002</v>
      </c>
      <c r="E157">
        <v>1735.4752272999999</v>
      </c>
      <c r="F157">
        <v>1686.6929286</v>
      </c>
      <c r="G157">
        <v>1802.2676065999999</v>
      </c>
      <c r="H157">
        <v>2613.9769500000002</v>
      </c>
      <c r="I157">
        <v>2115.6444833</v>
      </c>
    </row>
    <row r="158" spans="1:9" x14ac:dyDescent="0.35">
      <c r="A158" t="s">
        <v>215</v>
      </c>
      <c r="B158">
        <v>77923.082391000004</v>
      </c>
      <c r="C158">
        <v>87742.014762000006</v>
      </c>
      <c r="D158">
        <v>95637.218311999997</v>
      </c>
      <c r="E158">
        <v>84643.055135999995</v>
      </c>
      <c r="F158">
        <v>110862.16933</v>
      </c>
      <c r="G158">
        <v>109283.72937</v>
      </c>
      <c r="H158">
        <v>123798.84865</v>
      </c>
      <c r="I158">
        <v>99604.686317</v>
      </c>
    </row>
    <row r="159" spans="1:9" x14ac:dyDescent="0.35">
      <c r="A159" t="s">
        <v>66</v>
      </c>
      <c r="B159">
        <v>11527.339825999999</v>
      </c>
      <c r="C159">
        <v>14548.613547000001</v>
      </c>
      <c r="D159">
        <v>13841.785163</v>
      </c>
      <c r="E159">
        <v>14385.958726999999</v>
      </c>
      <c r="F159">
        <v>12933.353309</v>
      </c>
      <c r="G159">
        <v>13201.474179999999</v>
      </c>
      <c r="H159">
        <v>14248.49755</v>
      </c>
      <c r="I159">
        <v>15193.500216</v>
      </c>
    </row>
    <row r="160" spans="1:9" x14ac:dyDescent="0.35">
      <c r="A160" t="s">
        <v>76</v>
      </c>
      <c r="B160">
        <v>24332.133609</v>
      </c>
      <c r="C160">
        <v>30073.918310000001</v>
      </c>
      <c r="D160">
        <v>31512.925343999999</v>
      </c>
      <c r="E160">
        <v>15052.458635999999</v>
      </c>
      <c r="F160">
        <v>23556.044952</v>
      </c>
      <c r="G160">
        <v>23346.066393000001</v>
      </c>
      <c r="H160">
        <v>28928.716250000001</v>
      </c>
      <c r="I160">
        <v>104448.20892999999</v>
      </c>
    </row>
    <row r="161" spans="1:9" x14ac:dyDescent="0.35">
      <c r="A161" t="s">
        <v>468</v>
      </c>
      <c r="B161">
        <v>126740.62417</v>
      </c>
      <c r="C161">
        <v>137506.00620999999</v>
      </c>
      <c r="D161">
        <v>142866.37672</v>
      </c>
      <c r="E161">
        <v>87782.298590999999</v>
      </c>
      <c r="F161">
        <v>105967.67826</v>
      </c>
      <c r="G161">
        <v>154774.26845999999</v>
      </c>
      <c r="H161">
        <v>118584.42415000001</v>
      </c>
      <c r="I161">
        <v>77550.869082999998</v>
      </c>
    </row>
    <row r="162" spans="1:9" x14ac:dyDescent="0.35">
      <c r="A162" t="s">
        <v>218</v>
      </c>
      <c r="B162">
        <v>12827.601391</v>
      </c>
      <c r="C162">
        <v>11623.141881</v>
      </c>
      <c r="D162">
        <v>10735.144114000001</v>
      </c>
      <c r="E162">
        <v>10355.183000000001</v>
      </c>
      <c r="F162">
        <v>10739.239904</v>
      </c>
      <c r="G162">
        <v>11014.452064999999</v>
      </c>
      <c r="H162">
        <v>19028.59505</v>
      </c>
      <c r="I162">
        <v>24188.918683</v>
      </c>
    </row>
    <row r="163" spans="1:9" x14ac:dyDescent="0.35">
      <c r="A163" t="s">
        <v>222</v>
      </c>
      <c r="B163">
        <v>117.36747826</v>
      </c>
      <c r="C163">
        <v>116.91642856999999</v>
      </c>
      <c r="D163">
        <v>125.75931147</v>
      </c>
      <c r="E163">
        <v>180.98604545000001</v>
      </c>
      <c r="F163">
        <v>180.05861905</v>
      </c>
      <c r="G163">
        <v>147.11968852000001</v>
      </c>
      <c r="H163">
        <v>76.725399999999993</v>
      </c>
      <c r="I163">
        <v>112.91143332999999</v>
      </c>
    </row>
    <row r="164" spans="1:9" x14ac:dyDescent="0.35">
      <c r="A164" t="s">
        <v>219</v>
      </c>
      <c r="B164">
        <v>1941.1235652</v>
      </c>
      <c r="C164">
        <v>10492.305381</v>
      </c>
      <c r="D164">
        <v>8773.5304754000008</v>
      </c>
      <c r="E164">
        <v>2665.8830455000002</v>
      </c>
      <c r="F164">
        <v>2440.0944524000001</v>
      </c>
      <c r="G164">
        <v>2609.5490328000001</v>
      </c>
      <c r="H164">
        <v>7205.1360500000001</v>
      </c>
      <c r="I164">
        <v>2469.5775333000001</v>
      </c>
    </row>
    <row r="165" spans="1:9" x14ac:dyDescent="0.35">
      <c r="A165" t="s">
        <v>220</v>
      </c>
      <c r="B165">
        <v>11978.063391</v>
      </c>
      <c r="C165">
        <v>22111.524071</v>
      </c>
      <c r="D165">
        <v>23831.427179999999</v>
      </c>
      <c r="E165">
        <v>17767.021364</v>
      </c>
      <c r="F165">
        <v>38044.429285999999</v>
      </c>
      <c r="G165">
        <v>32599.953753999998</v>
      </c>
      <c r="H165">
        <v>11951.826499999999</v>
      </c>
      <c r="I165">
        <v>10895.391216</v>
      </c>
    </row>
    <row r="166" spans="1:9" x14ac:dyDescent="0.35">
      <c r="A166" t="s">
        <v>217</v>
      </c>
      <c r="B166">
        <v>2853.6819999999998</v>
      </c>
      <c r="C166">
        <v>3549.1855237999998</v>
      </c>
      <c r="D166">
        <v>3504.2395409999999</v>
      </c>
      <c r="E166">
        <v>4213.1634544999997</v>
      </c>
      <c r="F166">
        <v>3260.9517618999998</v>
      </c>
      <c r="G166">
        <v>2739.9621966999998</v>
      </c>
      <c r="H166">
        <v>2358.5508500000001</v>
      </c>
      <c r="I166">
        <v>4012.3508833000001</v>
      </c>
    </row>
    <row r="167" spans="1:9" x14ac:dyDescent="0.35">
      <c r="A167" t="s">
        <v>221</v>
      </c>
      <c r="B167">
        <v>21125.256434999999</v>
      </c>
      <c r="C167">
        <v>24424.561142999999</v>
      </c>
      <c r="D167">
        <v>24013.716033000001</v>
      </c>
      <c r="E167">
        <v>14524.093181</v>
      </c>
      <c r="F167">
        <v>15455.326166000001</v>
      </c>
      <c r="G167">
        <v>15116.905769999999</v>
      </c>
      <c r="H167">
        <v>20784.6374</v>
      </c>
      <c r="I167">
        <v>38478.537216999997</v>
      </c>
    </row>
    <row r="168" spans="1:9" x14ac:dyDescent="0.35">
      <c r="A168" t="s">
        <v>481</v>
      </c>
    </row>
    <row r="169" spans="1:9" x14ac:dyDescent="0.35">
      <c r="A169" t="s">
        <v>133</v>
      </c>
    </row>
    <row r="170" spans="1:9" x14ac:dyDescent="0.35">
      <c r="A170" t="s">
        <v>77</v>
      </c>
      <c r="B170">
        <v>40032.572783000003</v>
      </c>
      <c r="C170">
        <v>38396.641047999998</v>
      </c>
      <c r="D170">
        <v>43412.992966999998</v>
      </c>
      <c r="E170">
        <v>27916.369682</v>
      </c>
      <c r="F170">
        <v>29441.499429</v>
      </c>
      <c r="G170">
        <v>26107.911410000001</v>
      </c>
      <c r="H170">
        <v>83747.305349999995</v>
      </c>
      <c r="I170">
        <v>39411.301117000003</v>
      </c>
    </row>
    <row r="171" spans="1:9" x14ac:dyDescent="0.35">
      <c r="A171" t="s">
        <v>224</v>
      </c>
      <c r="B171">
        <v>292366.75896000001</v>
      </c>
      <c r="C171">
        <v>337865.93562</v>
      </c>
      <c r="D171">
        <v>367814.11189</v>
      </c>
      <c r="E171">
        <v>311965.67355000001</v>
      </c>
      <c r="F171">
        <v>374839.16064000002</v>
      </c>
      <c r="G171">
        <v>376079.51916000003</v>
      </c>
      <c r="H171">
        <v>509560.37459999998</v>
      </c>
      <c r="I171">
        <v>370739.64406999998</v>
      </c>
    </row>
    <row r="172" spans="1:9" x14ac:dyDescent="0.35">
      <c r="A172" t="s">
        <v>78</v>
      </c>
      <c r="B172">
        <v>1037765.2879</v>
      </c>
      <c r="C172">
        <v>1181481.8411000001</v>
      </c>
      <c r="D172">
        <v>1211635.577</v>
      </c>
      <c r="E172">
        <v>989868.92318000004</v>
      </c>
      <c r="F172">
        <v>1114783.4277999999</v>
      </c>
      <c r="G172">
        <v>1116321.5508999999</v>
      </c>
      <c r="H172">
        <v>1852836.4957999999</v>
      </c>
      <c r="I172">
        <v>1132036.4967</v>
      </c>
    </row>
    <row r="173" spans="1:9" x14ac:dyDescent="0.35">
      <c r="A173" t="s">
        <v>227</v>
      </c>
      <c r="B173">
        <v>25394.909</v>
      </c>
      <c r="C173">
        <v>41001.990738</v>
      </c>
      <c r="D173">
        <v>37935.139000000003</v>
      </c>
      <c r="E173">
        <v>42190.237318</v>
      </c>
      <c r="F173">
        <v>36585.365786000002</v>
      </c>
      <c r="G173">
        <v>33170.641327999998</v>
      </c>
      <c r="H173">
        <v>27401.430950000002</v>
      </c>
      <c r="I173">
        <v>23113.934300000001</v>
      </c>
    </row>
    <row r="174" spans="1:9" x14ac:dyDescent="0.35">
      <c r="A174" t="s">
        <v>233</v>
      </c>
      <c r="B174">
        <v>1543.8039564999999</v>
      </c>
      <c r="C174">
        <v>1991.6944762000001</v>
      </c>
      <c r="D174">
        <v>1911.3256392999999</v>
      </c>
      <c r="E174">
        <v>980.56409091</v>
      </c>
      <c r="F174">
        <v>1237.4920952</v>
      </c>
      <c r="G174">
        <v>1311.1643114999999</v>
      </c>
      <c r="H174">
        <v>2600.2298500000002</v>
      </c>
      <c r="I174">
        <v>1847.5884000000001</v>
      </c>
    </row>
    <row r="175" spans="1:9" x14ac:dyDescent="0.35">
      <c r="A175" t="s">
        <v>223</v>
      </c>
      <c r="B175">
        <v>1101.7059999999999</v>
      </c>
      <c r="C175">
        <v>2598.8015</v>
      </c>
      <c r="D175">
        <v>2595.0110328000001</v>
      </c>
      <c r="E175">
        <v>4476.9255455000002</v>
      </c>
      <c r="F175">
        <v>4110.5111905000003</v>
      </c>
      <c r="G175">
        <v>4727.8694261999999</v>
      </c>
      <c r="H175">
        <v>3370.4425500000002</v>
      </c>
      <c r="I175">
        <v>20348.868299999998</v>
      </c>
    </row>
    <row r="176" spans="1:9" x14ac:dyDescent="0.35">
      <c r="A176" t="s">
        <v>228</v>
      </c>
      <c r="B176">
        <v>9274.1538261000005</v>
      </c>
      <c r="C176">
        <v>12802.840475999999</v>
      </c>
      <c r="D176">
        <v>12560.505491</v>
      </c>
      <c r="E176">
        <v>13481.159089999999</v>
      </c>
      <c r="F176">
        <v>12326.217000000001</v>
      </c>
      <c r="G176">
        <v>12269.181278</v>
      </c>
      <c r="H176">
        <v>11593.7245</v>
      </c>
      <c r="I176">
        <v>19414.585899999998</v>
      </c>
    </row>
    <row r="177" spans="1:9" x14ac:dyDescent="0.35">
      <c r="A177" t="s">
        <v>150</v>
      </c>
      <c r="B177">
        <v>2960.5031303999999</v>
      </c>
      <c r="C177">
        <v>3305.5898333</v>
      </c>
      <c r="D177">
        <v>3420.1517213000002</v>
      </c>
      <c r="E177">
        <v>2607.9139544999998</v>
      </c>
      <c r="F177">
        <v>2308.0290476</v>
      </c>
      <c r="G177">
        <v>2152.1812951000002</v>
      </c>
      <c r="H177">
        <v>2413.7797</v>
      </c>
      <c r="I177">
        <v>4511.4106333</v>
      </c>
    </row>
    <row r="178" spans="1:9" x14ac:dyDescent="0.35">
      <c r="A178" t="s">
        <v>201</v>
      </c>
      <c r="B178">
        <v>3539.3409565000002</v>
      </c>
      <c r="C178">
        <v>3902.6596666999999</v>
      </c>
      <c r="D178">
        <v>3545.1486393</v>
      </c>
      <c r="E178">
        <v>1403.9092273000001</v>
      </c>
      <c r="F178">
        <v>2032.6747381</v>
      </c>
      <c r="G178">
        <v>2127.6782131</v>
      </c>
      <c r="H178">
        <v>2822.1918999999998</v>
      </c>
      <c r="I178">
        <v>6024.3682500000004</v>
      </c>
    </row>
    <row r="179" spans="1:9" x14ac:dyDescent="0.35">
      <c r="A179" t="s">
        <v>202</v>
      </c>
      <c r="B179">
        <v>75724.537435000006</v>
      </c>
      <c r="C179">
        <v>93653.388976000002</v>
      </c>
      <c r="D179">
        <v>93769.207229000007</v>
      </c>
      <c r="E179">
        <v>98600.132817999998</v>
      </c>
      <c r="F179">
        <v>92236.427762000007</v>
      </c>
      <c r="G179">
        <v>99057.911573999998</v>
      </c>
      <c r="H179">
        <v>99984.838300000003</v>
      </c>
      <c r="I179">
        <v>118843.37652999999</v>
      </c>
    </row>
    <row r="180" spans="1:9" x14ac:dyDescent="0.35">
      <c r="A180" t="s">
        <v>279</v>
      </c>
      <c r="B180">
        <v>42785.055869999997</v>
      </c>
      <c r="C180">
        <v>37722.602524000002</v>
      </c>
      <c r="D180">
        <v>45608.021328000003</v>
      </c>
      <c r="E180">
        <v>10804.265545</v>
      </c>
      <c r="F180">
        <v>9392.5831429000009</v>
      </c>
      <c r="G180">
        <v>11352.352097999999</v>
      </c>
      <c r="H180">
        <v>16076.4943</v>
      </c>
      <c r="I180">
        <v>16160.625249999999</v>
      </c>
    </row>
    <row r="181" spans="1:9" x14ac:dyDescent="0.35">
      <c r="A181" t="s">
        <v>231</v>
      </c>
      <c r="B181">
        <v>8900.3323478000002</v>
      </c>
      <c r="C181">
        <v>8715.3542619</v>
      </c>
      <c r="D181">
        <v>8156.4948525</v>
      </c>
      <c r="E181">
        <v>4650.5264999999999</v>
      </c>
      <c r="F181">
        <v>4226.4824523999996</v>
      </c>
      <c r="G181">
        <v>4357.1861474999996</v>
      </c>
      <c r="H181">
        <v>7597.8502500000004</v>
      </c>
      <c r="I181">
        <v>4277.0121667000003</v>
      </c>
    </row>
    <row r="182" spans="1:9" x14ac:dyDescent="0.35">
      <c r="A182" t="s">
        <v>79</v>
      </c>
      <c r="B182">
        <v>397454.88260999997</v>
      </c>
      <c r="C182">
        <v>370885.91024</v>
      </c>
      <c r="D182">
        <v>366500.51212999999</v>
      </c>
      <c r="E182">
        <v>388843.72681999998</v>
      </c>
      <c r="F182">
        <v>375311.39562000002</v>
      </c>
      <c r="G182">
        <v>358049.90025000001</v>
      </c>
      <c r="H182">
        <v>582267.50789999997</v>
      </c>
      <c r="I182">
        <v>307839.5269</v>
      </c>
    </row>
    <row r="183" spans="1:9" x14ac:dyDescent="0.35">
      <c r="A183" t="s">
        <v>232</v>
      </c>
      <c r="B183">
        <v>4359.9698261000003</v>
      </c>
      <c r="C183">
        <v>5051.0840238000001</v>
      </c>
      <c r="D183">
        <v>5082.5417377000003</v>
      </c>
      <c r="E183">
        <v>5726.3673636000003</v>
      </c>
      <c r="F183">
        <v>5074.4925952000003</v>
      </c>
      <c r="G183">
        <v>5390.2862131000002</v>
      </c>
      <c r="H183">
        <v>4575.4333500000002</v>
      </c>
      <c r="I183">
        <v>7137.8560500000003</v>
      </c>
    </row>
    <row r="184" spans="1:9" x14ac:dyDescent="0.35">
      <c r="A184" t="s">
        <v>229</v>
      </c>
      <c r="B184">
        <v>82856.735174000001</v>
      </c>
      <c r="C184">
        <v>77875.712094999995</v>
      </c>
      <c r="D184">
        <v>83399.734049000006</v>
      </c>
      <c r="E184">
        <v>81596.326272999999</v>
      </c>
      <c r="F184">
        <v>85851.292667000002</v>
      </c>
      <c r="G184">
        <v>84895.687852000003</v>
      </c>
      <c r="H184">
        <v>63724.948700000001</v>
      </c>
      <c r="I184">
        <v>89278.870299999995</v>
      </c>
    </row>
    <row r="185" spans="1:9" x14ac:dyDescent="0.35">
      <c r="A185" t="s">
        <v>230</v>
      </c>
      <c r="B185">
        <v>1085.7449999999999</v>
      </c>
      <c r="C185">
        <v>1733.710619</v>
      </c>
      <c r="D185">
        <v>1699.8983607</v>
      </c>
      <c r="E185">
        <v>1446.4733636000001</v>
      </c>
      <c r="F185">
        <v>1489.2167618999999</v>
      </c>
      <c r="G185">
        <v>1420.0387377</v>
      </c>
      <c r="H185">
        <v>1601.8623</v>
      </c>
      <c r="I185">
        <v>594.87413332999995</v>
      </c>
    </row>
    <row r="186" spans="1:9" x14ac:dyDescent="0.35">
      <c r="A186" t="s">
        <v>226</v>
      </c>
      <c r="B186">
        <v>97.270260870000001</v>
      </c>
      <c r="C186">
        <v>70.828547619000005</v>
      </c>
      <c r="D186">
        <v>62.076508197000003</v>
      </c>
      <c r="E186">
        <v>28.831227273</v>
      </c>
      <c r="F186">
        <v>32.679642856999997</v>
      </c>
      <c r="G186">
        <v>35.584229508</v>
      </c>
      <c r="H186">
        <v>82.796899999999994</v>
      </c>
      <c r="I186">
        <v>28.539549999999998</v>
      </c>
    </row>
    <row r="187" spans="1:9" x14ac:dyDescent="0.35">
      <c r="A187" t="s">
        <v>234</v>
      </c>
      <c r="B187">
        <v>11966.001738999999</v>
      </c>
      <c r="C187">
        <v>13387.235403999999</v>
      </c>
      <c r="D187">
        <v>12637.183016000001</v>
      </c>
      <c r="E187">
        <v>5528.8817273000004</v>
      </c>
      <c r="F187">
        <v>5473.3961429000001</v>
      </c>
      <c r="G187">
        <v>5118.9924425999998</v>
      </c>
      <c r="H187">
        <v>5168.6480000000001</v>
      </c>
      <c r="I187">
        <v>6693.9204</v>
      </c>
    </row>
    <row r="188" spans="1:9" x14ac:dyDescent="0.35">
      <c r="A188" t="s">
        <v>236</v>
      </c>
      <c r="B188">
        <v>157091.02734999999</v>
      </c>
      <c r="C188">
        <v>171224.65676000001</v>
      </c>
      <c r="D188">
        <v>187551.77927999999</v>
      </c>
      <c r="E188">
        <v>187054.40182</v>
      </c>
      <c r="F188">
        <v>196575.05600000001</v>
      </c>
      <c r="G188">
        <v>212672.36008000001</v>
      </c>
      <c r="H188">
        <v>213729.76949999999</v>
      </c>
      <c r="I188">
        <v>211793.52963</v>
      </c>
    </row>
    <row r="189" spans="1:9" x14ac:dyDescent="0.35">
      <c r="A189" t="s">
        <v>242</v>
      </c>
      <c r="B189">
        <v>283219.17142999999</v>
      </c>
      <c r="C189">
        <v>298685.99348</v>
      </c>
      <c r="D189">
        <v>277981.49028999999</v>
      </c>
      <c r="E189">
        <v>223357.72245</v>
      </c>
      <c r="F189">
        <v>241987.05617</v>
      </c>
      <c r="G189">
        <v>224253.31912999999</v>
      </c>
      <c r="H189">
        <v>247786.47594999999</v>
      </c>
      <c r="I189">
        <v>265891.12067999999</v>
      </c>
    </row>
    <row r="190" spans="1:9" x14ac:dyDescent="0.35">
      <c r="A190" t="s">
        <v>80</v>
      </c>
      <c r="B190">
        <v>34020.020696</v>
      </c>
      <c r="C190">
        <v>40614.610309999996</v>
      </c>
      <c r="D190">
        <v>38063.676803000002</v>
      </c>
      <c r="E190">
        <v>34440.257772999998</v>
      </c>
      <c r="F190">
        <v>38453.222857000001</v>
      </c>
      <c r="G190">
        <v>33537.634738000001</v>
      </c>
      <c r="H190">
        <v>23484.211749999999</v>
      </c>
      <c r="I190">
        <v>19070.133600000001</v>
      </c>
    </row>
    <row r="191" spans="1:9" x14ac:dyDescent="0.35">
      <c r="A191" t="s">
        <v>185</v>
      </c>
      <c r="B191">
        <v>7688.4859999999999</v>
      </c>
      <c r="C191">
        <v>6779.2727381000004</v>
      </c>
      <c r="D191">
        <v>5968.1188689000001</v>
      </c>
      <c r="E191">
        <v>4835.9531817999996</v>
      </c>
      <c r="F191">
        <v>5413.8322857000003</v>
      </c>
      <c r="G191">
        <v>4977.3396393000003</v>
      </c>
      <c r="H191">
        <v>4350.1504500000001</v>
      </c>
      <c r="I191">
        <v>6213.8568999999998</v>
      </c>
    </row>
    <row r="192" spans="1:9" x14ac:dyDescent="0.35">
      <c r="A192" t="s">
        <v>237</v>
      </c>
      <c r="B192">
        <v>362.11260870000001</v>
      </c>
      <c r="C192">
        <v>348.32635714000003</v>
      </c>
      <c r="D192">
        <v>289.97157377000002</v>
      </c>
      <c r="E192">
        <v>290.81772726999998</v>
      </c>
      <c r="F192">
        <v>220.87395237999999</v>
      </c>
      <c r="G192">
        <v>194.46873769999999</v>
      </c>
      <c r="H192">
        <v>174.93164999999999</v>
      </c>
      <c r="I192">
        <v>143.55231667000001</v>
      </c>
    </row>
    <row r="193" spans="1:9" x14ac:dyDescent="0.35">
      <c r="A193" t="s">
        <v>238</v>
      </c>
      <c r="B193">
        <v>26399.374087</v>
      </c>
      <c r="C193">
        <v>22963.014547999999</v>
      </c>
      <c r="D193">
        <v>22178.797852</v>
      </c>
      <c r="E193">
        <v>25503.770955</v>
      </c>
      <c r="F193">
        <v>25608.954643000001</v>
      </c>
      <c r="G193">
        <v>25058.324689000001</v>
      </c>
      <c r="H193">
        <v>39334.528550000003</v>
      </c>
      <c r="I193">
        <v>22974.324000000001</v>
      </c>
    </row>
    <row r="194" spans="1:9" x14ac:dyDescent="0.35">
      <c r="A194" t="s">
        <v>239</v>
      </c>
      <c r="B194">
        <v>143701.53086999999</v>
      </c>
      <c r="C194">
        <v>158869.10318999999</v>
      </c>
      <c r="D194">
        <v>166825.22315999999</v>
      </c>
      <c r="E194">
        <v>134625.02536</v>
      </c>
      <c r="F194">
        <v>155318.99600000001</v>
      </c>
      <c r="G194">
        <v>160524.92533</v>
      </c>
      <c r="H194">
        <v>193444.22615</v>
      </c>
      <c r="I194">
        <v>253698.71625</v>
      </c>
    </row>
    <row r="195" spans="1:9" x14ac:dyDescent="0.35">
      <c r="A195" t="s">
        <v>225</v>
      </c>
      <c r="B195">
        <v>33532.067564999998</v>
      </c>
      <c r="C195">
        <v>38687.521667000001</v>
      </c>
      <c r="D195">
        <v>39745.485115000003</v>
      </c>
      <c r="E195">
        <v>29126.606273000001</v>
      </c>
      <c r="F195">
        <v>33847.116024000003</v>
      </c>
      <c r="G195">
        <v>35714.334884999997</v>
      </c>
      <c r="H195">
        <v>60613.9179</v>
      </c>
      <c r="I195">
        <v>39465.544116999998</v>
      </c>
    </row>
    <row r="196" spans="1:9" x14ac:dyDescent="0.35">
      <c r="A196" t="s">
        <v>195</v>
      </c>
      <c r="B196">
        <v>266198.93465000001</v>
      </c>
      <c r="C196">
        <v>405151.44983</v>
      </c>
      <c r="D196">
        <v>424957.07601999998</v>
      </c>
      <c r="E196">
        <v>286569.84759000002</v>
      </c>
      <c r="F196">
        <v>322265.99471</v>
      </c>
      <c r="G196">
        <v>316873.93489999999</v>
      </c>
      <c r="H196">
        <v>428384.07384999999</v>
      </c>
      <c r="I196">
        <v>358718.69348000002</v>
      </c>
    </row>
    <row r="197" spans="1:9" x14ac:dyDescent="0.35">
      <c r="A197" t="s">
        <v>241</v>
      </c>
      <c r="B197">
        <v>1705.3849565</v>
      </c>
      <c r="C197">
        <v>1867.6155000000001</v>
      </c>
      <c r="D197">
        <v>1881.7744425999999</v>
      </c>
      <c r="E197">
        <v>1544.5711818</v>
      </c>
      <c r="F197">
        <v>1295.9172143000001</v>
      </c>
      <c r="G197">
        <v>1270.5006885</v>
      </c>
      <c r="H197">
        <v>910.85919999999999</v>
      </c>
      <c r="I197">
        <v>1110.4473667</v>
      </c>
    </row>
    <row r="198" spans="1:9" x14ac:dyDescent="0.35">
      <c r="A198" t="s">
        <v>240</v>
      </c>
      <c r="B198">
        <v>81.564260869999998</v>
      </c>
      <c r="C198">
        <v>102.4425</v>
      </c>
      <c r="D198">
        <v>86.303491803</v>
      </c>
      <c r="E198">
        <v>33.173636363999996</v>
      </c>
      <c r="F198">
        <v>41.379333332999998</v>
      </c>
      <c r="G198">
        <v>52.777131148000002</v>
      </c>
      <c r="H198">
        <v>87.927350000000004</v>
      </c>
      <c r="I198">
        <v>54.764016667</v>
      </c>
    </row>
    <row r="199" spans="1:9" x14ac:dyDescent="0.35">
      <c r="A199" t="s">
        <v>244</v>
      </c>
      <c r="B199">
        <v>70778.295043000006</v>
      </c>
      <c r="C199">
        <v>77720.097309999997</v>
      </c>
      <c r="D199">
        <v>74609.139163999993</v>
      </c>
      <c r="E199">
        <v>65834.261954999994</v>
      </c>
      <c r="F199">
        <v>70891.963881000003</v>
      </c>
      <c r="G199">
        <v>69404.512524999998</v>
      </c>
      <c r="H199">
        <v>77945.686549999999</v>
      </c>
      <c r="I199">
        <v>103657.71021</v>
      </c>
    </row>
    <row r="200" spans="1:9" x14ac:dyDescent="0.35">
      <c r="A200" t="s">
        <v>82</v>
      </c>
      <c r="B200">
        <v>28619.761478</v>
      </c>
      <c r="C200">
        <v>30776.959905</v>
      </c>
      <c r="D200">
        <v>36936.568425999998</v>
      </c>
      <c r="E200">
        <v>25405.650682</v>
      </c>
      <c r="F200">
        <v>24096.556737999999</v>
      </c>
      <c r="G200">
        <v>24017.013361000001</v>
      </c>
      <c r="H200">
        <v>27142.420099999999</v>
      </c>
      <c r="I200">
        <v>50572.008999999998</v>
      </c>
    </row>
    <row r="201" spans="1:9" x14ac:dyDescent="0.35">
      <c r="A201" t="s">
        <v>243</v>
      </c>
      <c r="B201">
        <v>6336.3396087000001</v>
      </c>
      <c r="C201">
        <v>8168.5659524000002</v>
      </c>
      <c r="D201">
        <v>8948.5502458999999</v>
      </c>
      <c r="E201">
        <v>10882.507772000001</v>
      </c>
      <c r="F201">
        <v>9632.3384048000007</v>
      </c>
      <c r="G201">
        <v>9306.6441147999994</v>
      </c>
      <c r="H201">
        <v>7490.8183499999996</v>
      </c>
      <c r="I201">
        <v>8420.7193167000005</v>
      </c>
    </row>
    <row r="202" spans="1:9" x14ac:dyDescent="0.35">
      <c r="A202" t="s">
        <v>178</v>
      </c>
      <c r="B202">
        <v>30711.96313</v>
      </c>
      <c r="C202">
        <v>29687.882881000001</v>
      </c>
      <c r="D202">
        <v>31280.951803</v>
      </c>
      <c r="E202">
        <v>24066.176590999999</v>
      </c>
      <c r="F202">
        <v>23526.768285999999</v>
      </c>
      <c r="G202">
        <v>21690.340671999998</v>
      </c>
      <c r="H202">
        <v>14485.6543</v>
      </c>
      <c r="I202">
        <v>30410.863267000001</v>
      </c>
    </row>
    <row r="203" spans="1:9" x14ac:dyDescent="0.35">
      <c r="A203" t="s">
        <v>81</v>
      </c>
      <c r="B203">
        <v>287622.46656999999</v>
      </c>
      <c r="C203">
        <v>329276.52851999999</v>
      </c>
      <c r="D203">
        <v>357823.40747999999</v>
      </c>
      <c r="E203">
        <v>265746.54605</v>
      </c>
      <c r="F203">
        <v>257269.64648</v>
      </c>
      <c r="G203">
        <v>300284.56092000002</v>
      </c>
      <c r="H203">
        <v>407915.36060000001</v>
      </c>
      <c r="I203">
        <v>426890.79467999999</v>
      </c>
    </row>
    <row r="204" spans="1:9" x14ac:dyDescent="0.35">
      <c r="A204" t="s">
        <v>246</v>
      </c>
      <c r="B204">
        <v>251.3243913</v>
      </c>
      <c r="C204">
        <v>387.46395238000002</v>
      </c>
      <c r="D204">
        <v>694.74316393000004</v>
      </c>
      <c r="E204">
        <v>805.61236364000001</v>
      </c>
      <c r="F204">
        <v>616.03754762000005</v>
      </c>
      <c r="G204">
        <v>935.97429508000005</v>
      </c>
      <c r="H204">
        <v>1125.4003</v>
      </c>
      <c r="I204">
        <v>3905.4975666999999</v>
      </c>
    </row>
    <row r="205" spans="1:9" x14ac:dyDescent="0.35">
      <c r="A205" t="s">
        <v>250</v>
      </c>
      <c r="B205">
        <v>2349.4013478000002</v>
      </c>
      <c r="C205">
        <v>4119.8183571</v>
      </c>
      <c r="D205">
        <v>3570.6388852</v>
      </c>
      <c r="E205">
        <v>2527.6082273000002</v>
      </c>
      <c r="F205">
        <v>2595.1020951999999</v>
      </c>
      <c r="G205">
        <v>2907.0676884999998</v>
      </c>
      <c r="H205">
        <v>5854.0808500000003</v>
      </c>
      <c r="I205">
        <v>10280.152083000001</v>
      </c>
    </row>
    <row r="206" spans="1:9" x14ac:dyDescent="0.35">
      <c r="A206" t="s">
        <v>249</v>
      </c>
      <c r="B206">
        <v>7315.6490434999996</v>
      </c>
      <c r="C206">
        <v>5733.7619999999997</v>
      </c>
      <c r="D206">
        <v>4721.7019179999998</v>
      </c>
      <c r="E206">
        <v>1750.8285909000001</v>
      </c>
      <c r="F206">
        <v>1405.6248095000001</v>
      </c>
      <c r="G206">
        <v>1249.6470655999999</v>
      </c>
      <c r="H206">
        <v>816.82905000000005</v>
      </c>
      <c r="I206">
        <v>592.85934999999995</v>
      </c>
    </row>
    <row r="207" spans="1:9" x14ac:dyDescent="0.35">
      <c r="A207" t="s">
        <v>255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</row>
    <row r="208" spans="1:9" x14ac:dyDescent="0.35">
      <c r="A208" t="s">
        <v>248</v>
      </c>
      <c r="B208">
        <v>1986.4720434999999</v>
      </c>
      <c r="C208">
        <v>2850.7759047999998</v>
      </c>
      <c r="D208">
        <v>2695.1746884999998</v>
      </c>
      <c r="E208">
        <v>1629.3486817999999</v>
      </c>
      <c r="F208">
        <v>1540.1666667</v>
      </c>
      <c r="G208">
        <v>1593.9176066</v>
      </c>
      <c r="H208">
        <v>2946.5700499999998</v>
      </c>
      <c r="I208">
        <v>2509.9173667</v>
      </c>
    </row>
    <row r="209" spans="1:9" x14ac:dyDescent="0.35">
      <c r="A209" t="s">
        <v>83</v>
      </c>
      <c r="B209">
        <v>20716.147174000002</v>
      </c>
      <c r="C209">
        <v>21699.6855</v>
      </c>
      <c r="D209">
        <v>22476.66518</v>
      </c>
      <c r="E209">
        <v>15599.610500000001</v>
      </c>
      <c r="F209">
        <v>18323.636547999999</v>
      </c>
      <c r="G209">
        <v>21567.464951000002</v>
      </c>
      <c r="H209">
        <v>30143.030449999998</v>
      </c>
      <c r="I209">
        <v>27530.268433000001</v>
      </c>
    </row>
    <row r="210" spans="1:9" x14ac:dyDescent="0.35">
      <c r="A210" t="s">
        <v>253</v>
      </c>
      <c r="B210">
        <v>37247.652261000003</v>
      </c>
      <c r="C210">
        <v>36495.644404999999</v>
      </c>
      <c r="D210">
        <v>40689.348983999997</v>
      </c>
      <c r="E210">
        <v>37257.002409000001</v>
      </c>
      <c r="F210">
        <v>43228.987667000001</v>
      </c>
      <c r="G210">
        <v>48448.357492000003</v>
      </c>
      <c r="H210">
        <v>64800.355600000003</v>
      </c>
      <c r="I210">
        <v>30646.564383000001</v>
      </c>
    </row>
    <row r="211" spans="1:9" x14ac:dyDescent="0.35">
      <c r="A211" t="s">
        <v>482</v>
      </c>
      <c r="B211">
        <v>151511.54634</v>
      </c>
      <c r="C211">
        <v>201294.83991000001</v>
      </c>
      <c r="D211">
        <v>208246.86564999999</v>
      </c>
      <c r="E211">
        <v>138290.73645</v>
      </c>
      <c r="F211">
        <v>158898.31081</v>
      </c>
      <c r="G211">
        <v>156836.98313000001</v>
      </c>
      <c r="H211">
        <v>157311.78868</v>
      </c>
      <c r="I211">
        <v>231496.63341000001</v>
      </c>
    </row>
    <row r="212" spans="1:9" x14ac:dyDescent="0.35">
      <c r="A212" t="s">
        <v>483</v>
      </c>
      <c r="H212">
        <v>0</v>
      </c>
      <c r="I212">
        <v>57.889883333</v>
      </c>
    </row>
    <row r="213" spans="1:9" x14ac:dyDescent="0.35">
      <c r="A213" t="s">
        <v>254</v>
      </c>
      <c r="B213">
        <v>40327.081260999999</v>
      </c>
      <c r="C213">
        <v>49937.856048000001</v>
      </c>
      <c r="D213">
        <v>49665.761885</v>
      </c>
      <c r="E213">
        <v>46187.941636000003</v>
      </c>
      <c r="F213">
        <v>55406.072095000003</v>
      </c>
      <c r="G213">
        <v>57341.135376999999</v>
      </c>
      <c r="H213">
        <v>81104.103700000007</v>
      </c>
      <c r="I213">
        <v>126551.14186</v>
      </c>
    </row>
    <row r="214" spans="1:9" x14ac:dyDescent="0.35">
      <c r="A214" t="s">
        <v>247</v>
      </c>
      <c r="B214">
        <v>28800.409825999999</v>
      </c>
      <c r="C214">
        <v>33445.635499999997</v>
      </c>
      <c r="D214">
        <v>33602.546918</v>
      </c>
      <c r="E214">
        <v>30516.344272999999</v>
      </c>
      <c r="F214">
        <v>30196.889595000001</v>
      </c>
      <c r="G214">
        <v>30032.175999999999</v>
      </c>
      <c r="H214">
        <v>37381.924550000003</v>
      </c>
      <c r="I214">
        <v>38427.857582999997</v>
      </c>
    </row>
    <row r="215" spans="1:9" x14ac:dyDescent="0.35">
      <c r="A215" t="s">
        <v>110</v>
      </c>
      <c r="B215">
        <v>7147.1989565000003</v>
      </c>
      <c r="C215">
        <v>7747.4626189999999</v>
      </c>
      <c r="D215">
        <v>7264.8925902000001</v>
      </c>
      <c r="E215">
        <v>4053.6453182</v>
      </c>
      <c r="F215">
        <v>4512.5094523999996</v>
      </c>
      <c r="G215">
        <v>5074.5223933999996</v>
      </c>
      <c r="H215">
        <v>10248.223400000001</v>
      </c>
      <c r="I215">
        <v>7468.1185833</v>
      </c>
    </row>
    <row r="216" spans="1:9" x14ac:dyDescent="0.35">
      <c r="A216" t="s">
        <v>251</v>
      </c>
      <c r="B216">
        <v>17226.380434999999</v>
      </c>
      <c r="C216">
        <v>21917.001404999999</v>
      </c>
      <c r="D216">
        <v>20695.272131000002</v>
      </c>
      <c r="E216">
        <v>12560.595227</v>
      </c>
      <c r="F216">
        <v>21981.264428999999</v>
      </c>
      <c r="G216">
        <v>22886.950573999999</v>
      </c>
      <c r="H216">
        <v>55241.779549999999</v>
      </c>
      <c r="I216">
        <v>37489.087549999997</v>
      </c>
    </row>
    <row r="217" spans="1:9" x14ac:dyDescent="0.35">
      <c r="A217" t="s">
        <v>245</v>
      </c>
      <c r="B217">
        <v>118827.00264999999</v>
      </c>
      <c r="C217">
        <v>98465.509833000004</v>
      </c>
      <c r="D217">
        <v>86861.164130999998</v>
      </c>
      <c r="E217">
        <v>69038.123909000002</v>
      </c>
      <c r="F217">
        <v>64534.593024000002</v>
      </c>
      <c r="G217">
        <v>63419.390590000003</v>
      </c>
      <c r="H217">
        <v>54328.414649999999</v>
      </c>
      <c r="I217">
        <v>2107.5374000000002</v>
      </c>
    </row>
    <row r="218" spans="1:9" x14ac:dyDescent="0.35">
      <c r="A218" t="s">
        <v>84</v>
      </c>
      <c r="B218">
        <v>314429.08003999997</v>
      </c>
      <c r="C218">
        <v>363823.06037999998</v>
      </c>
      <c r="D218">
        <v>415150.14153999998</v>
      </c>
      <c r="E218">
        <v>303055.96859</v>
      </c>
      <c r="F218">
        <v>318383.32413999998</v>
      </c>
      <c r="G218">
        <v>313103.40814999997</v>
      </c>
      <c r="H218">
        <v>329871.71970000002</v>
      </c>
      <c r="I218">
        <v>308737.28515000001</v>
      </c>
    </row>
    <row r="219" spans="1:9" x14ac:dyDescent="0.35">
      <c r="A219" t="s">
        <v>85</v>
      </c>
      <c r="B219">
        <v>55315.396782999997</v>
      </c>
      <c r="C219">
        <v>63735.7045</v>
      </c>
      <c r="D219">
        <v>68039.940885000004</v>
      </c>
      <c r="E219">
        <v>61017.732636000001</v>
      </c>
      <c r="F219">
        <v>54208.736524</v>
      </c>
      <c r="G219">
        <v>54444.701426</v>
      </c>
      <c r="H219">
        <v>58127.721299999997</v>
      </c>
      <c r="I219">
        <v>91859.945967000007</v>
      </c>
    </row>
    <row r="220" spans="1:9" x14ac:dyDescent="0.35">
      <c r="A220" t="s">
        <v>86</v>
      </c>
      <c r="B220">
        <v>2350.9561303999999</v>
      </c>
      <c r="C220">
        <v>2973.9251666999999</v>
      </c>
      <c r="D220">
        <v>3021.7088524999999</v>
      </c>
      <c r="E220">
        <v>1864.1077273000001</v>
      </c>
      <c r="F220">
        <v>1811.453</v>
      </c>
      <c r="G220">
        <v>1743.9845574000001</v>
      </c>
      <c r="H220">
        <v>2617.03865</v>
      </c>
      <c r="I220">
        <v>1468.3695832999999</v>
      </c>
    </row>
    <row r="221" spans="1:9" x14ac:dyDescent="0.35">
      <c r="A221" t="s">
        <v>257</v>
      </c>
      <c r="B221">
        <v>211.33304347999999</v>
      </c>
      <c r="C221">
        <v>181.53997619</v>
      </c>
      <c r="D221">
        <v>170.25268851999999</v>
      </c>
      <c r="E221">
        <v>141.40527273000001</v>
      </c>
      <c r="F221">
        <v>121.99214284999999</v>
      </c>
      <c r="G221">
        <v>107.30814753999999</v>
      </c>
      <c r="H221">
        <v>167.5479</v>
      </c>
      <c r="I221">
        <v>89.510383332999993</v>
      </c>
    </row>
    <row r="222" spans="1:9" x14ac:dyDescent="0.35">
      <c r="A222" t="s">
        <v>260</v>
      </c>
      <c r="B222">
        <v>40582.378042999997</v>
      </c>
      <c r="C222">
        <v>51618.015786000004</v>
      </c>
      <c r="D222">
        <v>50559.030343999999</v>
      </c>
      <c r="E222">
        <v>34506.319908999998</v>
      </c>
      <c r="F222">
        <v>37615.251475999998</v>
      </c>
      <c r="G222">
        <v>37520.635458999997</v>
      </c>
      <c r="H222">
        <v>31634.340400000001</v>
      </c>
      <c r="I222">
        <v>56955.404949999996</v>
      </c>
    </row>
    <row r="223" spans="1:9" x14ac:dyDescent="0.35">
      <c r="A223" t="s">
        <v>263</v>
      </c>
      <c r="B223">
        <v>1959.7896957</v>
      </c>
      <c r="C223">
        <v>4727.8923570999996</v>
      </c>
      <c r="D223">
        <v>4887.5508852000003</v>
      </c>
      <c r="E223">
        <v>3551.8514091000002</v>
      </c>
      <c r="F223">
        <v>3689.5651189999999</v>
      </c>
      <c r="G223">
        <v>3852.3589179999999</v>
      </c>
      <c r="H223">
        <v>4947.9791999999998</v>
      </c>
      <c r="I223">
        <v>13285.936782999999</v>
      </c>
    </row>
    <row r="224" spans="1:9" x14ac:dyDescent="0.35">
      <c r="A224" t="s">
        <v>258</v>
      </c>
      <c r="B224">
        <v>6851.0114782999999</v>
      </c>
      <c r="C224">
        <v>7833.7336905000002</v>
      </c>
      <c r="D224">
        <v>8486.8065081999994</v>
      </c>
      <c r="E224">
        <v>5728.6570000000002</v>
      </c>
      <c r="F224">
        <v>6315.2746189999998</v>
      </c>
      <c r="G224">
        <v>7267.7142623</v>
      </c>
      <c r="H224">
        <v>8097.8124500000004</v>
      </c>
      <c r="I224">
        <v>7715.8367833000002</v>
      </c>
    </row>
    <row r="225" spans="1:9" x14ac:dyDescent="0.35">
      <c r="A225" t="s">
        <v>261</v>
      </c>
      <c r="B225">
        <v>124567.07812999999</v>
      </c>
      <c r="C225">
        <v>131224.12419</v>
      </c>
      <c r="D225">
        <v>131355.4112</v>
      </c>
      <c r="E225">
        <v>116055.851</v>
      </c>
      <c r="F225">
        <v>125648.44604</v>
      </c>
      <c r="G225">
        <v>124639.46571999999</v>
      </c>
      <c r="H225">
        <v>111621.43184999999</v>
      </c>
      <c r="I225">
        <v>153155.30677</v>
      </c>
    </row>
    <row r="226" spans="1:9" x14ac:dyDescent="0.35">
      <c r="A226" t="s">
        <v>262</v>
      </c>
      <c r="B226">
        <v>93759.849000000002</v>
      </c>
      <c r="C226">
        <v>127667.30911</v>
      </c>
      <c r="D226">
        <v>121487.12398</v>
      </c>
      <c r="E226">
        <v>97898.618499999997</v>
      </c>
      <c r="F226">
        <v>137451.99601999999</v>
      </c>
      <c r="G226">
        <v>137395.67358999999</v>
      </c>
      <c r="H226">
        <v>120949.28939999999</v>
      </c>
      <c r="I226">
        <v>120471.37910999999</v>
      </c>
    </row>
    <row r="227" spans="1:9" x14ac:dyDescent="0.35">
      <c r="A227" t="s">
        <v>264</v>
      </c>
      <c r="B227">
        <v>2785.6479565</v>
      </c>
      <c r="C227">
        <v>2932.8373571000002</v>
      </c>
      <c r="D227">
        <v>2927.2124097999999</v>
      </c>
      <c r="E227">
        <v>3381.8035</v>
      </c>
      <c r="F227">
        <v>2898.6419286</v>
      </c>
      <c r="G227">
        <v>3058.5074261999998</v>
      </c>
      <c r="H227">
        <v>3615.3202000000001</v>
      </c>
      <c r="I227">
        <v>3515.9203667000002</v>
      </c>
    </row>
    <row r="228" spans="1:9" x14ac:dyDescent="0.35">
      <c r="A228" t="s">
        <v>187</v>
      </c>
      <c r="B228">
        <v>56206.993564999997</v>
      </c>
      <c r="C228">
        <v>55362.202713999999</v>
      </c>
      <c r="D228">
        <v>65389.179196999998</v>
      </c>
      <c r="E228">
        <v>79646.958455</v>
      </c>
      <c r="F228">
        <v>72519.588428999996</v>
      </c>
      <c r="G228">
        <v>67647.938328000004</v>
      </c>
      <c r="H228">
        <v>50794.160250000001</v>
      </c>
      <c r="I228">
        <v>55851.182967000001</v>
      </c>
    </row>
    <row r="229" spans="1:9" x14ac:dyDescent="0.35">
      <c r="A229" t="s">
        <v>256</v>
      </c>
      <c r="B229">
        <v>12289.728042999999</v>
      </c>
      <c r="C229">
        <v>11501.9733</v>
      </c>
      <c r="D229">
        <v>10334.463669000001</v>
      </c>
      <c r="E229">
        <v>10952.910431</v>
      </c>
      <c r="F229">
        <v>7951.5382425999996</v>
      </c>
      <c r="G229">
        <v>7262.6078004999999</v>
      </c>
      <c r="H229">
        <v>9509.1146774999997</v>
      </c>
      <c r="I229">
        <v>13807.726892000001</v>
      </c>
    </row>
    <row r="230" spans="1:9" x14ac:dyDescent="0.35">
      <c r="A230" t="s">
        <v>92</v>
      </c>
      <c r="B230">
        <v>8690.2850435</v>
      </c>
      <c r="C230">
        <v>14341.948881</v>
      </c>
      <c r="D230">
        <v>15521.867114000001</v>
      </c>
      <c r="E230">
        <v>15244.281136</v>
      </c>
      <c r="F230">
        <v>19304.342928999999</v>
      </c>
      <c r="G230">
        <v>17762.455344000002</v>
      </c>
      <c r="H230">
        <v>21290.044300000001</v>
      </c>
      <c r="I230">
        <v>19078.181682999999</v>
      </c>
    </row>
    <row r="231" spans="1:9" x14ac:dyDescent="0.35">
      <c r="A231" t="s">
        <v>87</v>
      </c>
      <c r="B231">
        <v>12378.700999999999</v>
      </c>
      <c r="C231">
        <v>15147.232214</v>
      </c>
      <c r="D231">
        <v>17729.651819999999</v>
      </c>
      <c r="E231">
        <v>13216.545818000001</v>
      </c>
      <c r="F231">
        <v>10498.404976</v>
      </c>
      <c r="G231">
        <v>12005.495901</v>
      </c>
      <c r="H231">
        <v>26470.633000000002</v>
      </c>
      <c r="I231">
        <v>11748.643816</v>
      </c>
    </row>
    <row r="232" spans="1:9" x14ac:dyDescent="0.35">
      <c r="A232" t="s">
        <v>266</v>
      </c>
      <c r="B232">
        <v>44.068043478</v>
      </c>
      <c r="C232">
        <v>52.429904762</v>
      </c>
      <c r="D232">
        <v>85.019016393000001</v>
      </c>
      <c r="E232">
        <v>93.569590908999999</v>
      </c>
      <c r="F232">
        <v>83.988547619000002</v>
      </c>
      <c r="G232">
        <v>86.038442622999995</v>
      </c>
      <c r="H232">
        <v>111.9842</v>
      </c>
      <c r="I232">
        <v>70.387766666999994</v>
      </c>
    </row>
    <row r="233" spans="1:9" x14ac:dyDescent="0.35">
      <c r="A233" t="s">
        <v>265</v>
      </c>
      <c r="B233">
        <v>93111.336739000006</v>
      </c>
      <c r="C233">
        <v>106754.55885</v>
      </c>
      <c r="D233">
        <v>111249.06104</v>
      </c>
      <c r="E233">
        <v>97589.993136000005</v>
      </c>
      <c r="F233">
        <v>109807.06522999999</v>
      </c>
      <c r="G233">
        <v>110984.84106000001</v>
      </c>
      <c r="H233">
        <v>102215.6918</v>
      </c>
      <c r="I233">
        <v>163272.89095</v>
      </c>
    </row>
    <row r="234" spans="1:9" x14ac:dyDescent="0.35">
      <c r="A234" t="s">
        <v>268</v>
      </c>
      <c r="B234">
        <v>6689.9048260999998</v>
      </c>
      <c r="C234">
        <v>9275.7631904999998</v>
      </c>
      <c r="D234">
        <v>9001.9624753999997</v>
      </c>
      <c r="E234">
        <v>5416.5182727000001</v>
      </c>
      <c r="F234">
        <v>5442.1851189999998</v>
      </c>
      <c r="G234">
        <v>8416.7709343999995</v>
      </c>
      <c r="H234">
        <v>7441.5947500000002</v>
      </c>
      <c r="I234">
        <v>19356.762032999999</v>
      </c>
    </row>
    <row r="235" spans="1:9" x14ac:dyDescent="0.35">
      <c r="A235" t="s">
        <v>88</v>
      </c>
      <c r="B235">
        <v>2155.3706522000002</v>
      </c>
      <c r="C235">
        <v>2086.025619</v>
      </c>
      <c r="D235">
        <v>2007.7996066000001</v>
      </c>
      <c r="E235">
        <v>1229.0710908999999</v>
      </c>
      <c r="F235">
        <v>1294.4874761999999</v>
      </c>
      <c r="G235">
        <v>1240.6680328</v>
      </c>
      <c r="H235">
        <v>1826.2827500000001</v>
      </c>
      <c r="I235">
        <v>4132.6854167000001</v>
      </c>
    </row>
    <row r="236" spans="1:9" x14ac:dyDescent="0.35">
      <c r="A236" t="s">
        <v>269</v>
      </c>
      <c r="B236">
        <v>89982.146391000002</v>
      </c>
      <c r="C236">
        <v>83610.593357000005</v>
      </c>
      <c r="D236">
        <v>79118.396311999997</v>
      </c>
      <c r="E236">
        <v>64962.578681999999</v>
      </c>
      <c r="F236">
        <v>66966.996832999997</v>
      </c>
      <c r="G236">
        <v>64303.627262000002</v>
      </c>
      <c r="H236">
        <v>85232.770499999999</v>
      </c>
      <c r="I236">
        <v>69843.540867000003</v>
      </c>
    </row>
    <row r="237" spans="1:9" x14ac:dyDescent="0.35">
      <c r="A237" t="s">
        <v>89</v>
      </c>
      <c r="B237">
        <v>1357835.8770999999</v>
      </c>
      <c r="C237">
        <v>1320092.0560000001</v>
      </c>
      <c r="D237">
        <v>1329027.1412</v>
      </c>
      <c r="E237">
        <v>1843015.6217</v>
      </c>
      <c r="F237">
        <v>1748450.4084999999</v>
      </c>
      <c r="G237">
        <v>1589576.6784999999</v>
      </c>
      <c r="H237">
        <v>1350419.7208</v>
      </c>
      <c r="I237">
        <v>1506058.1635</v>
      </c>
    </row>
    <row r="238" spans="1:9" x14ac:dyDescent="0.35">
      <c r="A238" t="s">
        <v>90</v>
      </c>
      <c r="B238">
        <v>73428.870913000006</v>
      </c>
      <c r="C238">
        <v>66371.671071000004</v>
      </c>
      <c r="D238">
        <v>65682.893131000004</v>
      </c>
      <c r="E238">
        <v>22927.062635999999</v>
      </c>
      <c r="F238">
        <v>31627.461213999999</v>
      </c>
      <c r="G238">
        <v>38938.902902000002</v>
      </c>
      <c r="H238">
        <v>57859.209199999998</v>
      </c>
      <c r="I238">
        <v>54550.869417000002</v>
      </c>
    </row>
    <row r="239" spans="1:9" x14ac:dyDescent="0.35">
      <c r="A239" t="s">
        <v>271</v>
      </c>
      <c r="B239">
        <v>144498.57870000001</v>
      </c>
      <c r="C239">
        <v>175303.65948</v>
      </c>
      <c r="D239">
        <v>187959.48499999999</v>
      </c>
      <c r="E239">
        <v>194716.34190999999</v>
      </c>
      <c r="F239">
        <v>218028.31452000001</v>
      </c>
      <c r="G239">
        <v>205225.58775000001</v>
      </c>
      <c r="H239">
        <v>171057.25109999999</v>
      </c>
      <c r="I239">
        <v>254308.89292000001</v>
      </c>
    </row>
    <row r="240" spans="1:9" x14ac:dyDescent="0.35">
      <c r="A240" t="s">
        <v>273</v>
      </c>
      <c r="B240">
        <v>2090.3182609</v>
      </c>
      <c r="C240">
        <v>1639.0777381</v>
      </c>
      <c r="D240">
        <v>1668.6001802999999</v>
      </c>
      <c r="E240">
        <v>2576.5232273000001</v>
      </c>
      <c r="F240">
        <v>2158.2424523999998</v>
      </c>
      <c r="G240">
        <v>1806.3566229999999</v>
      </c>
      <c r="H240">
        <v>1142.0310500000001</v>
      </c>
      <c r="I240">
        <v>706.58076667</v>
      </c>
    </row>
    <row r="241" spans="1:9" x14ac:dyDescent="0.35">
      <c r="A241" t="s">
        <v>274</v>
      </c>
      <c r="B241">
        <v>68807.693043000007</v>
      </c>
      <c r="C241">
        <v>84354.486713999999</v>
      </c>
      <c r="D241">
        <v>79507.500425999999</v>
      </c>
      <c r="E241">
        <v>58664.647227000001</v>
      </c>
      <c r="F241">
        <v>76849.455499999996</v>
      </c>
      <c r="G241">
        <v>87881.272639000003</v>
      </c>
      <c r="H241">
        <v>72827.966</v>
      </c>
      <c r="I241">
        <v>81454.638032999996</v>
      </c>
    </row>
    <row r="242" spans="1:9" x14ac:dyDescent="0.35">
      <c r="A242" t="s">
        <v>259</v>
      </c>
      <c r="B242">
        <v>119718.06243000001</v>
      </c>
      <c r="C242">
        <v>118868.43330999999</v>
      </c>
      <c r="D242">
        <v>129821.97713</v>
      </c>
      <c r="E242">
        <v>95428.897681999995</v>
      </c>
      <c r="F242">
        <v>109273.42395</v>
      </c>
      <c r="G242">
        <v>112992.82878</v>
      </c>
      <c r="H242">
        <v>121378.3591</v>
      </c>
      <c r="I242">
        <v>127495.50433</v>
      </c>
    </row>
    <row r="243" spans="1:9" x14ac:dyDescent="0.35">
      <c r="A243" t="s">
        <v>270</v>
      </c>
      <c r="B243">
        <v>9812.0868695999998</v>
      </c>
      <c r="C243">
        <v>11684.593261</v>
      </c>
      <c r="D243">
        <v>11851.038295</v>
      </c>
      <c r="E243">
        <v>10962.860272</v>
      </c>
      <c r="F243">
        <v>9750.6346904999991</v>
      </c>
      <c r="G243">
        <v>11004.448802999999</v>
      </c>
      <c r="H243">
        <v>8883.6793500000003</v>
      </c>
      <c r="I243">
        <v>6854.9682333000001</v>
      </c>
    </row>
    <row r="244" spans="1:9" x14ac:dyDescent="0.35">
      <c r="A244" t="s">
        <v>272</v>
      </c>
      <c r="B244">
        <v>1562.4502609000001</v>
      </c>
      <c r="C244">
        <v>1524.3810951999999</v>
      </c>
      <c r="D244">
        <v>1303.8058361000001</v>
      </c>
      <c r="E244">
        <v>1016.7660909</v>
      </c>
      <c r="F244">
        <v>1551.6703333</v>
      </c>
      <c r="G244">
        <v>1831.6881311</v>
      </c>
      <c r="H244">
        <v>2551.3508999999999</v>
      </c>
      <c r="I244">
        <v>7201.8285833</v>
      </c>
    </row>
    <row r="245" spans="1:9" x14ac:dyDescent="0.35">
      <c r="A245" t="s">
        <v>276</v>
      </c>
      <c r="B245">
        <v>7647.3027390999996</v>
      </c>
      <c r="C245">
        <v>10249.869618999999</v>
      </c>
      <c r="D245">
        <v>10803.376541</v>
      </c>
      <c r="E245">
        <v>14270.890545</v>
      </c>
      <c r="F245">
        <v>11669.242452</v>
      </c>
      <c r="G245">
        <v>11922.777244999999</v>
      </c>
      <c r="H245">
        <v>11677.311900000001</v>
      </c>
      <c r="I245">
        <v>23912.938767</v>
      </c>
    </row>
    <row r="246" spans="1:9" x14ac:dyDescent="0.35">
      <c r="A246" t="s">
        <v>275</v>
      </c>
      <c r="B246">
        <v>4532.3823043000002</v>
      </c>
      <c r="C246">
        <v>6191.1192142999998</v>
      </c>
      <c r="D246">
        <v>5470.1873933999996</v>
      </c>
      <c r="E246">
        <v>4684.7575454999997</v>
      </c>
      <c r="F246">
        <v>3738.1495713999998</v>
      </c>
      <c r="G246">
        <v>3237.8454262</v>
      </c>
      <c r="H246">
        <v>2172.5059500000002</v>
      </c>
      <c r="I246">
        <v>2142.2240000000002</v>
      </c>
    </row>
    <row r="247" spans="1:9" x14ac:dyDescent="0.35">
      <c r="A247" t="s">
        <v>278</v>
      </c>
      <c r="B247">
        <v>337703.48904000001</v>
      </c>
      <c r="C247">
        <v>340146.00728999998</v>
      </c>
      <c r="D247">
        <v>355166.34905000002</v>
      </c>
      <c r="E247">
        <v>337142.83536000003</v>
      </c>
      <c r="F247">
        <v>371033.71030999999</v>
      </c>
      <c r="G247">
        <v>356093.22897</v>
      </c>
      <c r="H247">
        <v>398342.87105000002</v>
      </c>
      <c r="I247">
        <v>420839.94965000002</v>
      </c>
    </row>
    <row r="248" spans="1:9" x14ac:dyDescent="0.35">
      <c r="A248" t="s">
        <v>280</v>
      </c>
      <c r="B248">
        <v>1981.7028261</v>
      </c>
      <c r="C248">
        <v>2604.1345000000001</v>
      </c>
      <c r="D248">
        <v>2709.2415738</v>
      </c>
      <c r="E248">
        <v>2999.2424544999999</v>
      </c>
      <c r="F248">
        <v>2507.3152381</v>
      </c>
      <c r="G248">
        <v>2555.7474097999998</v>
      </c>
      <c r="H248">
        <v>2007.90075</v>
      </c>
      <c r="I248">
        <v>3215.0976000000001</v>
      </c>
    </row>
    <row r="249" spans="1:9" x14ac:dyDescent="0.35">
      <c r="A249" t="s">
        <v>281</v>
      </c>
      <c r="B249">
        <v>16.818391303999999</v>
      </c>
      <c r="C249">
        <v>24.422452380999999</v>
      </c>
      <c r="D249">
        <v>33.908688525000002</v>
      </c>
      <c r="E249">
        <v>19.493681817999999</v>
      </c>
      <c r="F249">
        <v>19.167404762</v>
      </c>
      <c r="G249">
        <v>26.241524590000001</v>
      </c>
      <c r="H249">
        <v>42.808300000000003</v>
      </c>
      <c r="I249">
        <v>35.006399999999999</v>
      </c>
    </row>
    <row r="250" spans="1:9" x14ac:dyDescent="0.35">
      <c r="A250" t="s">
        <v>91</v>
      </c>
      <c r="B250">
        <v>50127.545042999998</v>
      </c>
      <c r="C250">
        <v>49284.318071000002</v>
      </c>
      <c r="D250">
        <v>47251.009278999998</v>
      </c>
      <c r="E250">
        <v>46553.699409000001</v>
      </c>
      <c r="F250">
        <v>49980.361190000003</v>
      </c>
      <c r="G250">
        <v>54084.164295000002</v>
      </c>
      <c r="H250">
        <v>73742.257800000007</v>
      </c>
      <c r="I250">
        <v>45768.767982999998</v>
      </c>
    </row>
    <row r="251" spans="1:9" x14ac:dyDescent="0.35">
      <c r="A251" t="s">
        <v>282</v>
      </c>
      <c r="B251">
        <v>1111.9369565</v>
      </c>
      <c r="C251">
        <v>1695.0987619</v>
      </c>
      <c r="D251">
        <v>1794.5586721</v>
      </c>
      <c r="E251">
        <v>1940.0341817999999</v>
      </c>
      <c r="F251">
        <v>1953.2296429</v>
      </c>
      <c r="G251">
        <v>2429.1093279000002</v>
      </c>
      <c r="H251">
        <v>2092.7858000000001</v>
      </c>
      <c r="I251">
        <v>1281.5309</v>
      </c>
    </row>
    <row r="252" spans="1:9" x14ac:dyDescent="0.35">
      <c r="A252" t="s">
        <v>91</v>
      </c>
      <c r="B252">
        <v>50127.545042999998</v>
      </c>
      <c r="C252">
        <v>49284.318071000002</v>
      </c>
      <c r="D252">
        <v>47251.009278999998</v>
      </c>
      <c r="I252">
        <v>55645.636375000002</v>
      </c>
    </row>
    <row r="253" spans="1:9" x14ac:dyDescent="0.35">
      <c r="A253" t="s">
        <v>282</v>
      </c>
      <c r="B253">
        <v>1111.9369565</v>
      </c>
      <c r="C253">
        <v>1695.0987619</v>
      </c>
      <c r="D253">
        <v>1794.5586721000002</v>
      </c>
      <c r="I253">
        <v>1570.0094999999999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economatica</vt:lpstr>
      <vt:lpstr>marketcap</vt:lpstr>
      <vt:lpstr>liquidez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Fraga Caliman</dc:creator>
  <cp:lastModifiedBy>Igor Fraga Caliman</cp:lastModifiedBy>
  <dcterms:created xsi:type="dcterms:W3CDTF">2025-07-23T14:08:25Z</dcterms:created>
  <dcterms:modified xsi:type="dcterms:W3CDTF">2025-12-29T20:47:05Z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1451507877</vt:lpwstr>
  </property>
  <property fmtid="{D5CDD505-2E9C-101B-9397-08002B2CF9AE}" pid="3" name="EcoUpdateMessage">
    <vt:lpwstr>2025/12/29-20:37:57</vt:lpwstr>
  </property>
  <property fmtid="{D5CDD505-2E9C-101B-9397-08002B2CF9AE}" pid="4" name="EcoUpdateStatus">
    <vt:lpwstr>2025-12-26=BRA:St,ME,TP;USA:St,ME;ARG:St,ME,TP;MEX:St,ME,Fd;CHL:Fd;PER:St,ME|2025-12-28=BRA:Fd|2022-10-17=USA:TP|2025-12-23=ARG:Fd;GBR:St,ME;PER:TP|2025-12-24=MEX:TP;COL:St,ME|2025-12-29=CHL:St,ME;SAU:St|2021-11-17=CHL:TP|2014-02-26=VEN:St|2002-11-08=JPN:St|2016-08-18=NNN:St|2025-12-25=COL:Fd;PER:Fd|2007-01-31=ESP:St|2003-01-29=CHN:St|2003-01-28=TWN:St|2003-01-30=HKG:St;KOR:St|2023-01-19=OTH:St|2025-06-24=PAN:St|2024-06-24=SAU:ME</vt:lpwstr>
  </property>
</Properties>
</file>